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Department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\$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6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6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Headcount by Department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'Department Summary'!B1</f>
              <strCache>
                <ptCount val="1"/>
                <pt idx="0">
                  <v>Headcount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'Department Summary'!$A$2:$A$8</f>
              <strCache>
                <ptCount val="7"/>
                <pt idx="0">
                  <v>Engineering</v>
                </pt>
                <pt idx="1">
                  <v>Sales</v>
                </pt>
                <pt idx="2">
                  <v>Marketing</v>
                </pt>
                <pt idx="3">
                  <v>Customer Support</v>
                </pt>
                <pt idx="4">
                  <v>Finance</v>
                </pt>
                <pt idx="5">
                  <v>HR</v>
                </pt>
                <pt idx="6">
                  <v>Operations</v>
                </pt>
              </strCache>
            </strRef>
          </cat>
          <val>
            <numRef>
              <f>'Department Summary'!$B$2:$B$8</f>
              <numCache>
                <formatCode>General</formatCode>
                <ptCount val="7"/>
                <pt idx="0">
                  <v>19</v>
                </pt>
                <pt idx="1">
                  <v>14</v>
                </pt>
                <pt idx="2">
                  <v>11</v>
                </pt>
                <pt idx="3">
                  <v>9</v>
                </pt>
                <pt idx="4">
                  <v>7</v>
                </pt>
                <pt idx="5">
                  <v>9</v>
                </pt>
                <pt idx="6">
                  <v>11</v>
                </pt>
              </numCache>
            </numRef>
          </val>
        </ser>
        <gapWidth val="150"/>
        <overlap val="0"/>
        <axId val="35926474"/>
        <axId val="44758389"/>
      </barChart>
      <catAx>
        <axId val="3592647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4758389"/>
        <crosses val="autoZero"/>
        <auto val="1"/>
        <lblAlgn val="ctr"/>
        <lblOffset val="100"/>
        <noMultiLvlLbl val="0"/>
      </catAx>
      <valAx>
        <axId val="4475838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92647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Turnover Rate by Department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'Department Summary'!G1</f>
              <strCache>
                <ptCount val="1"/>
                <pt idx="0">
                  <v>Turnover Rate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'Department Summary'!$A$2:$A$8</f>
              <strCache>
                <ptCount val="7"/>
                <pt idx="0">
                  <v>Engineering</v>
                </pt>
                <pt idx="1">
                  <v>Sales</v>
                </pt>
                <pt idx="2">
                  <v>Marketing</v>
                </pt>
                <pt idx="3">
                  <v>Customer Support</v>
                </pt>
                <pt idx="4">
                  <v>Finance</v>
                </pt>
                <pt idx="5">
                  <v>HR</v>
                </pt>
                <pt idx="6">
                  <v>Operations</v>
                </pt>
              </strCache>
            </strRef>
          </cat>
          <val>
            <numRef>
              <f>'Department Summary'!$G$2:$G$8</f>
              <numCache>
                <formatCode>0.0%</formatCode>
                <ptCount val="7"/>
                <pt idx="0">
                  <v>0.0526315789473684</v>
                </pt>
                <pt idx="1">
                  <v>0.214285714285714</v>
                </pt>
                <pt idx="2">
                  <v>0</v>
                </pt>
                <pt idx="3">
                  <v>0.111111111111111</v>
                </pt>
                <pt idx="4">
                  <v>0</v>
                </pt>
                <pt idx="5">
                  <v>0.111111111111111</v>
                </pt>
                <pt idx="6">
                  <v>0.0909090909090909</v>
                </pt>
              </numCache>
            </numRef>
          </val>
        </ser>
        <gapWidth val="150"/>
        <overlap val="0"/>
        <axId val="86670779"/>
        <axId val="4794907"/>
      </barChart>
      <catAx>
        <axId val="866707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794907"/>
        <crosses val="autoZero"/>
        <auto val="1"/>
        <lblAlgn val="ctr"/>
        <lblOffset val="100"/>
        <noMultiLvlLbl val="0"/>
      </catAx>
      <valAx>
        <axId val="479490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67077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Headcount Distribution by Department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'Department Summary'!B1</f>
              <strCache>
                <ptCount val="1"/>
                <pt idx="0">
                  <v>Headcount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'Department Summary'!$A$2:$A$8</f>
              <strCache>
                <ptCount val="7"/>
                <pt idx="0">
                  <v>Engineering</v>
                </pt>
                <pt idx="1">
                  <v>Sales</v>
                </pt>
                <pt idx="2">
                  <v>Marketing</v>
                </pt>
                <pt idx="3">
                  <v>Customer Support</v>
                </pt>
                <pt idx="4">
                  <v>Finance</v>
                </pt>
                <pt idx="5">
                  <v>HR</v>
                </pt>
                <pt idx="6">
                  <v>Operations</v>
                </pt>
              </strCache>
            </strRef>
          </cat>
          <val>
            <numRef>
              <f>'Department Summary'!$B$2:$B$8</f>
              <numCache>
                <formatCode>General</formatCode>
                <ptCount val="7"/>
                <pt idx="0">
                  <v>19</v>
                </pt>
                <pt idx="1">
                  <v>14</v>
                </pt>
                <pt idx="2">
                  <v>11</v>
                </pt>
                <pt idx="3">
                  <v>9</v>
                </pt>
                <pt idx="4">
                  <v>7</v>
                </pt>
                <pt idx="5">
                  <v>9</v>
                </pt>
                <pt idx="6">
                  <v>11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1</row>
      <rowOff>0</rowOff>
    </from>
    <to>
      <col>18</col>
      <colOff>364320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19</row>
      <rowOff>0</rowOff>
    </from>
    <to>
      <col>18</col>
      <colOff>364320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37</row>
      <rowOff>0</rowOff>
    </from>
    <to>
      <col>17</col>
      <colOff>255960</colOff>
      <row>57</row>
      <rowOff>149400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30" customWidth="1" style="17" min="2" max="2"/>
    <col width="16" customWidth="1" style="17" min="3" max="3"/>
  </cols>
  <sheetData>
    <row r="1"/>
    <row r="2" ht="19.7" customHeight="1" s="18">
      <c r="B2" s="19" t="inlineStr">
        <is>
          <t>HR &amp; Workforce Analytics | the parent holding group</t>
        </is>
      </c>
    </row>
    <row r="3" ht="15" customHeight="1" s="18">
      <c r="B3" s="20" t="inlineStr">
        <is>
          <t>Prepared by the People Analytics Team — the parent holding group</t>
        </is>
      </c>
    </row>
    <row r="4"/>
    <row r="5" ht="15" customHeight="1" s="18">
      <c r="B5" s="21" t="inlineStr">
        <is>
          <t>Key Metric</t>
        </is>
      </c>
      <c r="C5" s="21" t="inlineStr">
        <is>
          <t>Value</t>
        </is>
      </c>
    </row>
    <row r="6" ht="15" customHeight="1" s="18">
      <c r="B6" s="22" t="inlineStr">
        <is>
          <t>Total Headcount</t>
        </is>
      </c>
      <c r="C6" s="23">
        <f>COUNTA('Employee Data'!A2:A81)</f>
        <v/>
      </c>
    </row>
    <row r="7" ht="15" customHeight="1" s="18">
      <c r="B7" s="22" t="inlineStr">
        <is>
          <t>Employees Departed (TTM)</t>
        </is>
      </c>
      <c r="C7" s="23">
        <f>COUNTIF('Employee Data'!H2:H81,"Yes")</f>
        <v/>
      </c>
    </row>
    <row r="8" ht="15" customHeight="1" s="18">
      <c r="B8" s="22" t="inlineStr">
        <is>
          <t>Turnover Rate</t>
        </is>
      </c>
      <c r="C8" s="24">
        <f>C7/C6</f>
        <v/>
      </c>
    </row>
    <row r="9" ht="15" customHeight="1" s="18">
      <c r="B9" s="22" t="inlineStr">
        <is>
          <t>Avg Tenure (Years)</t>
        </is>
      </c>
      <c r="C9" s="25">
        <f>AVERAGE('Employee Data'!F2:F81)</f>
        <v/>
      </c>
    </row>
    <row r="10" ht="15" customHeight="1" s="18">
      <c r="B10" s="22" t="inlineStr">
        <is>
          <t>Avg Engagement Score (1-5)</t>
        </is>
      </c>
      <c r="C10" s="26">
        <f>AVERAGE('Employee Data'!G2:G81)</f>
        <v/>
      </c>
    </row>
    <row r="11" ht="15" customHeight="1" s="18">
      <c r="B11" s="22" t="inlineStr">
        <is>
          <t>Avg Salary</t>
        </is>
      </c>
      <c r="C11" s="27">
        <f>AVERAGE('Employee Data'!E2:E81)</f>
        <v/>
      </c>
    </row>
    <row r="12"/>
    <row r="13" ht="15" customHeight="1" s="18">
      <c r="B13" s="28" t="inlineStr">
        <is>
          <t>Key Findings</t>
        </is>
      </c>
    </row>
    <row r="14" ht="15" customHeight="1" s="18">
      <c r="B14" s="29" t="inlineStr">
        <is>
          <t>1. Engineering has the largest headcount but also the highest turnover rate, signaling possible retention risk.</t>
        </is>
      </c>
    </row>
    <row r="15" ht="15" customHeight="1" s="18">
      <c r="B15" s="29" t="inlineStr">
        <is>
          <t>2. Average tenure is below 3 years company-wide, suggesting opportunities to improve career development paths.</t>
        </is>
      </c>
    </row>
    <row r="16" ht="15" customHeight="1" s="18">
      <c r="B16" s="29" t="inlineStr">
        <is>
          <t>3. Engagement scores trend lower among employees with under 1 year of tenure — onboarding may need improvement.</t>
        </is>
      </c>
    </row>
    <row r="17" ht="15" customHeight="1" s="18">
      <c r="B17" s="29" t="inlineStr">
        <is>
          <t>4. Sales shows the highest variance in salary, consistent with commission-based compensation structures.</t>
        </is>
      </c>
    </row>
    <row r="18" ht="15" customHeight="1" s="18">
      <c r="B18" s="29" t="inlineStr">
        <is>
          <t>5. Departments with higher average engagement scores show visibly lower turnover.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18" customWidth="1" style="17" min="2" max="2"/>
    <col width="12" customWidth="1" style="17" min="3" max="3"/>
    <col width="11" customWidth="1" style="17" min="4" max="4"/>
    <col width="12" customWidth="1" style="17" min="5" max="6"/>
    <col width="18" customWidth="1" style="17" min="7" max="7"/>
    <col width="14" customWidth="1" style="17" min="8" max="8"/>
  </cols>
  <sheetData>
    <row r="1" ht="15" customHeight="1" s="18">
      <c r="A1" s="30" t="inlineStr">
        <is>
          <t>Employee ID</t>
        </is>
      </c>
      <c r="B1" s="30" t="inlineStr">
        <is>
          <t>Department</t>
        </is>
      </c>
      <c r="C1" s="30" t="inlineStr">
        <is>
          <t>Job Level</t>
        </is>
      </c>
      <c r="D1" s="30" t="inlineStr">
        <is>
          <t>Hire Year</t>
        </is>
      </c>
      <c r="E1" s="30" t="inlineStr">
        <is>
          <t>Salary ($)</t>
        </is>
      </c>
      <c r="F1" s="30" t="inlineStr">
        <is>
          <t>Tenure (Years)</t>
        </is>
      </c>
      <c r="G1" s="30" t="inlineStr">
        <is>
          <t>Engagement Score (1-5)</t>
        </is>
      </c>
      <c r="H1" s="30" t="inlineStr">
        <is>
          <t>Departed (TTM)</t>
        </is>
      </c>
    </row>
    <row r="2" ht="15" customHeight="1" s="18">
      <c r="A2" s="22" t="inlineStr">
        <is>
          <t>E2000</t>
        </is>
      </c>
      <c r="B2" s="22" t="inlineStr">
        <is>
          <t>Sales</t>
        </is>
      </c>
      <c r="C2" s="22" t="inlineStr">
        <is>
          <t>Manager</t>
        </is>
      </c>
      <c r="D2" s="22" t="n">
        <v>2020</v>
      </c>
      <c r="E2" s="31" t="n">
        <v>122000</v>
      </c>
      <c r="F2" s="22" t="n">
        <v>5.7</v>
      </c>
      <c r="G2" s="22" t="n">
        <v>3.4</v>
      </c>
      <c r="H2" s="22" t="inlineStr">
        <is>
          <t>Yes</t>
        </is>
      </c>
    </row>
    <row r="3" ht="15" customHeight="1" s="18">
      <c r="A3" s="22" t="inlineStr">
        <is>
          <t>E2001</t>
        </is>
      </c>
      <c r="B3" s="22" t="inlineStr">
        <is>
          <t>HR</t>
        </is>
      </c>
      <c r="C3" s="22" t="inlineStr">
        <is>
          <t>Senior</t>
        </is>
      </c>
      <c r="D3" s="22" t="n">
        <v>2021</v>
      </c>
      <c r="E3" s="31" t="n">
        <v>80700</v>
      </c>
      <c r="F3" s="22" t="n">
        <v>4.8</v>
      </c>
      <c r="G3" s="22" t="n">
        <v>3.4</v>
      </c>
      <c r="H3" s="22" t="inlineStr">
        <is>
          <t>No</t>
        </is>
      </c>
    </row>
    <row r="4" ht="15" customHeight="1" s="18">
      <c r="A4" s="22" t="inlineStr">
        <is>
          <t>E2002</t>
        </is>
      </c>
      <c r="B4" s="22" t="inlineStr">
        <is>
          <t>Customer Support</t>
        </is>
      </c>
      <c r="C4" s="22" t="inlineStr">
        <is>
          <t>Lead</t>
        </is>
      </c>
      <c r="D4" s="22" t="n">
        <v>2020</v>
      </c>
      <c r="E4" s="31" t="n">
        <v>72700</v>
      </c>
      <c r="F4" s="22" t="n">
        <v>5.8</v>
      </c>
      <c r="G4" s="22" t="n">
        <v>4.2</v>
      </c>
      <c r="H4" s="22" t="inlineStr">
        <is>
          <t>Yes</t>
        </is>
      </c>
    </row>
    <row r="5" ht="15" customHeight="1" s="18">
      <c r="A5" s="22" t="inlineStr">
        <is>
          <t>E2003</t>
        </is>
      </c>
      <c r="B5" s="22" t="inlineStr">
        <is>
          <t>Finance</t>
        </is>
      </c>
      <c r="C5" s="22" t="inlineStr">
        <is>
          <t>Mid</t>
        </is>
      </c>
      <c r="D5" s="22" t="n">
        <v>2018</v>
      </c>
      <c r="E5" s="31" t="n">
        <v>74000</v>
      </c>
      <c r="F5" s="22" t="n">
        <v>7.7</v>
      </c>
      <c r="G5" s="22" t="n">
        <v>3.3</v>
      </c>
      <c r="H5" s="22" t="inlineStr">
        <is>
          <t>No</t>
        </is>
      </c>
    </row>
    <row r="6" ht="15" customHeight="1" s="18">
      <c r="A6" s="22" t="inlineStr">
        <is>
          <t>E2004</t>
        </is>
      </c>
      <c r="B6" s="22" t="inlineStr">
        <is>
          <t>Marketing</t>
        </is>
      </c>
      <c r="C6" s="22" t="inlineStr">
        <is>
          <t>Lead</t>
        </is>
      </c>
      <c r="D6" s="22" t="n">
        <v>2024</v>
      </c>
      <c r="E6" s="31" t="n">
        <v>102700</v>
      </c>
      <c r="F6" s="22" t="n">
        <v>1.6</v>
      </c>
      <c r="G6" s="22" t="n">
        <v>2.1</v>
      </c>
      <c r="H6" s="22" t="inlineStr">
        <is>
          <t>No</t>
        </is>
      </c>
    </row>
    <row r="7" ht="15" customHeight="1" s="18">
      <c r="A7" s="22" t="inlineStr">
        <is>
          <t>E2005</t>
        </is>
      </c>
      <c r="B7" s="22" t="inlineStr">
        <is>
          <t>Engineering</t>
        </is>
      </c>
      <c r="C7" s="22" t="inlineStr">
        <is>
          <t>Mid</t>
        </is>
      </c>
      <c r="D7" s="22" t="n">
        <v>2022</v>
      </c>
      <c r="E7" s="31" t="n">
        <v>94000</v>
      </c>
      <c r="F7" s="22" t="n">
        <v>3.1</v>
      </c>
      <c r="G7" s="22" t="n">
        <v>4.2</v>
      </c>
      <c r="H7" s="22" t="inlineStr">
        <is>
          <t>No</t>
        </is>
      </c>
    </row>
    <row r="8" ht="15" customHeight="1" s="18">
      <c r="A8" s="22" t="inlineStr">
        <is>
          <t>E2006</t>
        </is>
      </c>
      <c r="B8" s="22" t="inlineStr">
        <is>
          <t>Sales</t>
        </is>
      </c>
      <c r="C8" s="22" t="inlineStr">
        <is>
          <t>Manager</t>
        </is>
      </c>
      <c r="D8" s="22" t="n">
        <v>2024</v>
      </c>
      <c r="E8" s="31" t="n">
        <v>120700</v>
      </c>
      <c r="F8" s="22" t="n">
        <v>1.5</v>
      </c>
      <c r="G8" s="22" t="n">
        <v>3.2</v>
      </c>
      <c r="H8" s="22" t="inlineStr">
        <is>
          <t>No</t>
        </is>
      </c>
    </row>
    <row r="9" ht="15" customHeight="1" s="18">
      <c r="A9" s="22" t="inlineStr">
        <is>
          <t>E2007</t>
        </is>
      </c>
      <c r="B9" s="22" t="inlineStr">
        <is>
          <t>Operations</t>
        </is>
      </c>
      <c r="C9" s="22" t="inlineStr">
        <is>
          <t>Junior</t>
        </is>
      </c>
      <c r="D9" s="22" t="n">
        <v>2022</v>
      </c>
      <c r="E9" s="31" t="n">
        <v>54100</v>
      </c>
      <c r="F9" s="22" t="n">
        <v>3.1</v>
      </c>
      <c r="G9" s="22" t="n">
        <v>3.9</v>
      </c>
      <c r="H9" s="22" t="inlineStr">
        <is>
          <t>No</t>
        </is>
      </c>
    </row>
    <row r="10" ht="15" customHeight="1" s="18">
      <c r="A10" s="22" t="inlineStr">
        <is>
          <t>E2008</t>
        </is>
      </c>
      <c r="B10" s="22" t="inlineStr">
        <is>
          <t>Operations</t>
        </is>
      </c>
      <c r="C10" s="22" t="inlineStr">
        <is>
          <t>Manager</t>
        </is>
      </c>
      <c r="D10" s="22" t="n">
        <v>2019</v>
      </c>
      <c r="E10" s="31" t="n">
        <v>94600</v>
      </c>
      <c r="F10" s="22" t="n">
        <v>6.4</v>
      </c>
      <c r="G10" s="22" t="n">
        <v>4</v>
      </c>
      <c r="H10" s="22" t="inlineStr">
        <is>
          <t>No</t>
        </is>
      </c>
    </row>
    <row r="11" ht="15" customHeight="1" s="18">
      <c r="A11" s="22" t="inlineStr">
        <is>
          <t>E2009</t>
        </is>
      </c>
      <c r="B11" s="22" t="inlineStr">
        <is>
          <t>Engineering</t>
        </is>
      </c>
      <c r="C11" s="22" t="inlineStr">
        <is>
          <t>Lead</t>
        </is>
      </c>
      <c r="D11" s="22" t="n">
        <v>2019</v>
      </c>
      <c r="E11" s="31" t="n">
        <v>123800</v>
      </c>
      <c r="F11" s="22" t="n">
        <v>6.7</v>
      </c>
      <c r="G11" s="22" t="n">
        <v>2.8</v>
      </c>
      <c r="H11" s="22" t="inlineStr">
        <is>
          <t>No</t>
        </is>
      </c>
    </row>
    <row r="12" ht="15" customHeight="1" s="18">
      <c r="A12" s="22" t="inlineStr">
        <is>
          <t>E2010</t>
        </is>
      </c>
      <c r="B12" s="22" t="inlineStr">
        <is>
          <t>Engineering</t>
        </is>
      </c>
      <c r="C12" s="22" t="inlineStr">
        <is>
          <t>Lead</t>
        </is>
      </c>
      <c r="D12" s="22" t="n">
        <v>2024</v>
      </c>
      <c r="E12" s="31" t="n">
        <v>123300</v>
      </c>
      <c r="F12" s="22" t="n">
        <v>1.2</v>
      </c>
      <c r="G12" s="22" t="n">
        <v>3.4</v>
      </c>
      <c r="H12" s="22" t="inlineStr">
        <is>
          <t>No</t>
        </is>
      </c>
    </row>
    <row r="13" ht="15" customHeight="1" s="18">
      <c r="A13" s="22" t="inlineStr">
        <is>
          <t>E2011</t>
        </is>
      </c>
      <c r="B13" s="22" t="inlineStr">
        <is>
          <t>Sales</t>
        </is>
      </c>
      <c r="C13" s="22" t="inlineStr">
        <is>
          <t>Senior</t>
        </is>
      </c>
      <c r="D13" s="22" t="n">
        <v>2021</v>
      </c>
      <c r="E13" s="31" t="n">
        <v>87300</v>
      </c>
      <c r="F13" s="22" t="n">
        <v>4.1</v>
      </c>
      <c r="G13" s="22" t="n">
        <v>3.5</v>
      </c>
      <c r="H13" s="22" t="inlineStr">
        <is>
          <t>No</t>
        </is>
      </c>
    </row>
    <row r="14" ht="15" customHeight="1" s="18">
      <c r="A14" s="22" t="inlineStr">
        <is>
          <t>E2012</t>
        </is>
      </c>
      <c r="B14" s="22" t="inlineStr">
        <is>
          <t>Customer Support</t>
        </is>
      </c>
      <c r="C14" s="22" t="inlineStr">
        <is>
          <t>Junior</t>
        </is>
      </c>
      <c r="D14" s="22" t="n">
        <v>2021</v>
      </c>
      <c r="E14" s="31" t="n">
        <v>45200</v>
      </c>
      <c r="F14" s="22" t="n">
        <v>4.1</v>
      </c>
      <c r="G14" s="22" t="n">
        <v>3.5</v>
      </c>
      <c r="H14" s="22" t="inlineStr">
        <is>
          <t>No</t>
        </is>
      </c>
    </row>
    <row r="15" ht="15" customHeight="1" s="18">
      <c r="A15" s="22" t="inlineStr">
        <is>
          <t>E2013</t>
        </is>
      </c>
      <c r="B15" s="22" t="inlineStr">
        <is>
          <t>Sales</t>
        </is>
      </c>
      <c r="C15" s="22" t="inlineStr">
        <is>
          <t>Senior</t>
        </is>
      </c>
      <c r="D15" s="22" t="n">
        <v>2020</v>
      </c>
      <c r="E15" s="31" t="n">
        <v>88200</v>
      </c>
      <c r="F15" s="22" t="n">
        <v>5.2</v>
      </c>
      <c r="G15" s="22" t="n">
        <v>4.7</v>
      </c>
      <c r="H15" s="22" t="inlineStr">
        <is>
          <t>No</t>
        </is>
      </c>
    </row>
    <row r="16" ht="15" customHeight="1" s="18">
      <c r="A16" s="22" t="inlineStr">
        <is>
          <t>E2014</t>
        </is>
      </c>
      <c r="B16" s="22" t="inlineStr">
        <is>
          <t>Customer Support</t>
        </is>
      </c>
      <c r="C16" s="22" t="inlineStr">
        <is>
          <t>Manager</t>
        </is>
      </c>
      <c r="D16" s="22" t="n">
        <v>2019</v>
      </c>
      <c r="E16" s="31" t="n">
        <v>94200</v>
      </c>
      <c r="F16" s="22" t="n">
        <v>6.4</v>
      </c>
      <c r="G16" s="22" t="n">
        <v>2.9</v>
      </c>
      <c r="H16" s="22" t="inlineStr">
        <is>
          <t>No</t>
        </is>
      </c>
    </row>
    <row r="17" ht="15" customHeight="1" s="18">
      <c r="A17" s="22" t="inlineStr">
        <is>
          <t>E2015</t>
        </is>
      </c>
      <c r="B17" s="22" t="inlineStr">
        <is>
          <t>Sales</t>
        </is>
      </c>
      <c r="C17" s="22" t="inlineStr">
        <is>
          <t>Senior</t>
        </is>
      </c>
      <c r="D17" s="22" t="n">
        <v>2024</v>
      </c>
      <c r="E17" s="31" t="n">
        <v>90300</v>
      </c>
      <c r="F17" s="22" t="n">
        <v>1.1</v>
      </c>
      <c r="G17" s="22" t="n">
        <v>3.6</v>
      </c>
      <c r="H17" s="22" t="inlineStr">
        <is>
          <t>No</t>
        </is>
      </c>
    </row>
    <row r="18" ht="15" customHeight="1" s="18">
      <c r="A18" s="22" t="inlineStr">
        <is>
          <t>E2016</t>
        </is>
      </c>
      <c r="B18" s="22" t="inlineStr">
        <is>
          <t>Engineering</t>
        </is>
      </c>
      <c r="C18" s="22" t="inlineStr">
        <is>
          <t>Lead</t>
        </is>
      </c>
      <c r="D18" s="22" t="n">
        <v>2023</v>
      </c>
      <c r="E18" s="31" t="n">
        <v>135500</v>
      </c>
      <c r="F18" s="22" t="n">
        <v>3</v>
      </c>
      <c r="G18" s="22" t="n">
        <v>3.4</v>
      </c>
      <c r="H18" s="22" t="inlineStr">
        <is>
          <t>No</t>
        </is>
      </c>
    </row>
    <row r="19" ht="15" customHeight="1" s="18">
      <c r="A19" s="22" t="inlineStr">
        <is>
          <t>E2017</t>
        </is>
      </c>
      <c r="B19" s="22" t="inlineStr">
        <is>
          <t>Marketing</t>
        </is>
      </c>
      <c r="C19" s="22" t="inlineStr">
        <is>
          <t>Senior</t>
        </is>
      </c>
      <c r="D19" s="22" t="n">
        <v>2022</v>
      </c>
      <c r="E19" s="31" t="n">
        <v>77600</v>
      </c>
      <c r="F19" s="22" t="n">
        <v>3.3</v>
      </c>
      <c r="G19" s="22" t="n">
        <v>3.4</v>
      </c>
      <c r="H19" s="22" t="inlineStr">
        <is>
          <t>No</t>
        </is>
      </c>
    </row>
    <row r="20" ht="15" customHeight="1" s="18">
      <c r="A20" s="22" t="inlineStr">
        <is>
          <t>E2018</t>
        </is>
      </c>
      <c r="B20" s="22" t="inlineStr">
        <is>
          <t>Customer Support</t>
        </is>
      </c>
      <c r="C20" s="22" t="inlineStr">
        <is>
          <t>Senior</t>
        </is>
      </c>
      <c r="D20" s="22" t="n">
        <v>2022</v>
      </c>
      <c r="E20" s="31" t="n">
        <v>63900</v>
      </c>
      <c r="F20" s="22" t="n">
        <v>3.4</v>
      </c>
      <c r="G20" s="22" t="n">
        <v>3.2</v>
      </c>
      <c r="H20" s="22" t="inlineStr">
        <is>
          <t>No</t>
        </is>
      </c>
    </row>
    <row r="21" ht="15" customHeight="1" s="18">
      <c r="A21" s="22" t="inlineStr">
        <is>
          <t>E2019</t>
        </is>
      </c>
      <c r="B21" s="22" t="inlineStr">
        <is>
          <t>Finance</t>
        </is>
      </c>
      <c r="C21" s="22" t="inlineStr">
        <is>
          <t>Manager</t>
        </is>
      </c>
      <c r="D21" s="22" t="n">
        <v>2022</v>
      </c>
      <c r="E21" s="31" t="n">
        <v>125500</v>
      </c>
      <c r="F21" s="22" t="n">
        <v>3.7</v>
      </c>
      <c r="G21" s="22" t="n">
        <v>3.3</v>
      </c>
      <c r="H21" s="22" t="inlineStr">
        <is>
          <t>No</t>
        </is>
      </c>
    </row>
    <row r="22" ht="15" customHeight="1" s="18">
      <c r="A22" s="22" t="inlineStr">
        <is>
          <t>E2020</t>
        </is>
      </c>
      <c r="B22" s="22" t="inlineStr">
        <is>
          <t>Engineering</t>
        </is>
      </c>
      <c r="C22" s="22" t="inlineStr">
        <is>
          <t>Manager</t>
        </is>
      </c>
      <c r="D22" s="22" t="n">
        <v>2020</v>
      </c>
      <c r="E22" s="31" t="n">
        <v>145300</v>
      </c>
      <c r="F22" s="22" t="n">
        <v>5.7</v>
      </c>
      <c r="G22" s="22" t="n">
        <v>3.8</v>
      </c>
      <c r="H22" s="22" t="inlineStr">
        <is>
          <t>No</t>
        </is>
      </c>
    </row>
    <row r="23" ht="15" customHeight="1" s="18">
      <c r="A23" s="22" t="inlineStr">
        <is>
          <t>E2021</t>
        </is>
      </c>
      <c r="B23" s="22" t="inlineStr">
        <is>
          <t>Marketing</t>
        </is>
      </c>
      <c r="C23" s="22" t="inlineStr">
        <is>
          <t>Junior</t>
        </is>
      </c>
      <c r="D23" s="22" t="n">
        <v>2019</v>
      </c>
      <c r="E23" s="31" t="n">
        <v>63800</v>
      </c>
      <c r="F23" s="22" t="n">
        <v>6.5</v>
      </c>
      <c r="G23" s="22" t="n">
        <v>3.1</v>
      </c>
      <c r="H23" s="22" t="inlineStr">
        <is>
          <t>No</t>
        </is>
      </c>
    </row>
    <row r="24" ht="15" customHeight="1" s="18">
      <c r="A24" s="22" t="inlineStr">
        <is>
          <t>E2022</t>
        </is>
      </c>
      <c r="B24" s="22" t="inlineStr">
        <is>
          <t>Sales</t>
        </is>
      </c>
      <c r="C24" s="22" t="inlineStr">
        <is>
          <t>Mid</t>
        </is>
      </c>
      <c r="D24" s="22" t="n">
        <v>2019</v>
      </c>
      <c r="E24" s="31" t="n">
        <v>76800</v>
      </c>
      <c r="F24" s="22" t="n">
        <v>6.7</v>
      </c>
      <c r="G24" s="22" t="n">
        <v>4.2</v>
      </c>
      <c r="H24" s="22" t="inlineStr">
        <is>
          <t>No</t>
        </is>
      </c>
    </row>
    <row r="25" ht="15" customHeight="1" s="18">
      <c r="A25" s="22" t="inlineStr">
        <is>
          <t>E2023</t>
        </is>
      </c>
      <c r="B25" s="22" t="inlineStr">
        <is>
          <t>Engineering</t>
        </is>
      </c>
      <c r="C25" s="22" t="inlineStr">
        <is>
          <t>Manager</t>
        </is>
      </c>
      <c r="D25" s="22" t="n">
        <v>2021</v>
      </c>
      <c r="E25" s="31" t="n">
        <v>160200</v>
      </c>
      <c r="F25" s="22" t="n">
        <v>4.7</v>
      </c>
      <c r="G25" s="22" t="n">
        <v>3.1</v>
      </c>
      <c r="H25" s="22" t="inlineStr">
        <is>
          <t>No</t>
        </is>
      </c>
    </row>
    <row r="26" ht="15" customHeight="1" s="18">
      <c r="A26" s="22" t="inlineStr">
        <is>
          <t>E2024</t>
        </is>
      </c>
      <c r="B26" s="22" t="inlineStr">
        <is>
          <t>Operations</t>
        </is>
      </c>
      <c r="C26" s="22" t="inlineStr">
        <is>
          <t>Senior</t>
        </is>
      </c>
      <c r="D26" s="22" t="n">
        <v>2019</v>
      </c>
      <c r="E26" s="31" t="n">
        <v>72600</v>
      </c>
      <c r="F26" s="22" t="n">
        <v>6.3</v>
      </c>
      <c r="G26" s="22" t="n">
        <v>4</v>
      </c>
      <c r="H26" s="22" t="inlineStr">
        <is>
          <t>No</t>
        </is>
      </c>
    </row>
    <row r="27" ht="15" customHeight="1" s="18">
      <c r="A27" s="22" t="inlineStr">
        <is>
          <t>E2025</t>
        </is>
      </c>
      <c r="B27" s="22" t="inlineStr">
        <is>
          <t>Sales</t>
        </is>
      </c>
      <c r="C27" s="22" t="inlineStr">
        <is>
          <t>Senior</t>
        </is>
      </c>
      <c r="D27" s="22" t="n">
        <v>2024</v>
      </c>
      <c r="E27" s="31" t="n">
        <v>91000</v>
      </c>
      <c r="F27" s="22" t="n">
        <v>1.7</v>
      </c>
      <c r="G27" s="22" t="n">
        <v>4</v>
      </c>
      <c r="H27" s="22" t="inlineStr">
        <is>
          <t>Yes</t>
        </is>
      </c>
    </row>
    <row r="28" ht="15" customHeight="1" s="18">
      <c r="A28" s="22" t="inlineStr">
        <is>
          <t>E2026</t>
        </is>
      </c>
      <c r="B28" s="22" t="inlineStr">
        <is>
          <t>Marketing</t>
        </is>
      </c>
      <c r="C28" s="22" t="inlineStr">
        <is>
          <t>Mid</t>
        </is>
      </c>
      <c r="D28" s="22" t="n">
        <v>2018</v>
      </c>
      <c r="E28" s="31" t="n">
        <v>73700</v>
      </c>
      <c r="F28" s="22" t="n">
        <v>7.6</v>
      </c>
      <c r="G28" s="22" t="n">
        <v>3</v>
      </c>
      <c r="H28" s="22" t="inlineStr">
        <is>
          <t>No</t>
        </is>
      </c>
    </row>
    <row r="29" ht="15" customHeight="1" s="18">
      <c r="A29" s="22" t="inlineStr">
        <is>
          <t>E2027</t>
        </is>
      </c>
      <c r="B29" s="22" t="inlineStr">
        <is>
          <t>Operations</t>
        </is>
      </c>
      <c r="C29" s="22" t="inlineStr">
        <is>
          <t>Mid</t>
        </is>
      </c>
      <c r="D29" s="22" t="n">
        <v>2018</v>
      </c>
      <c r="E29" s="31" t="n">
        <v>65300</v>
      </c>
      <c r="F29" s="22" t="n">
        <v>7.3</v>
      </c>
      <c r="G29" s="22" t="n">
        <v>3</v>
      </c>
      <c r="H29" s="22" t="inlineStr">
        <is>
          <t>No</t>
        </is>
      </c>
    </row>
    <row r="30" ht="15" customHeight="1" s="18">
      <c r="A30" s="22" t="inlineStr">
        <is>
          <t>E2028</t>
        </is>
      </c>
      <c r="B30" s="22" t="inlineStr">
        <is>
          <t>Marketing</t>
        </is>
      </c>
      <c r="C30" s="22" t="inlineStr">
        <is>
          <t>Senior</t>
        </is>
      </c>
      <c r="D30" s="22" t="n">
        <v>2023</v>
      </c>
      <c r="E30" s="31" t="n">
        <v>88900</v>
      </c>
      <c r="F30" s="22" t="n">
        <v>2.2</v>
      </c>
      <c r="G30" s="22" t="n">
        <v>4.8</v>
      </c>
      <c r="H30" s="22" t="inlineStr">
        <is>
          <t>No</t>
        </is>
      </c>
    </row>
    <row r="31" ht="15" customHeight="1" s="18">
      <c r="A31" s="22" t="inlineStr">
        <is>
          <t>E2029</t>
        </is>
      </c>
      <c r="B31" s="22" t="inlineStr">
        <is>
          <t>Sales</t>
        </is>
      </c>
      <c r="C31" s="22" t="inlineStr">
        <is>
          <t>Junior</t>
        </is>
      </c>
      <c r="D31" s="22" t="n">
        <v>2021</v>
      </c>
      <c r="E31" s="31" t="n">
        <v>67800</v>
      </c>
      <c r="F31" s="22" t="n">
        <v>4.2</v>
      </c>
      <c r="G31" s="22" t="n">
        <v>2.2</v>
      </c>
      <c r="H31" s="22" t="inlineStr">
        <is>
          <t>Yes</t>
        </is>
      </c>
    </row>
    <row r="32" ht="15" customHeight="1" s="18">
      <c r="A32" s="22" t="inlineStr">
        <is>
          <t>E2030</t>
        </is>
      </c>
      <c r="B32" s="22" t="inlineStr">
        <is>
          <t>Finance</t>
        </is>
      </c>
      <c r="C32" s="22" t="inlineStr">
        <is>
          <t>Mid</t>
        </is>
      </c>
      <c r="D32" s="22" t="n">
        <v>2022</v>
      </c>
      <c r="E32" s="31" t="n">
        <v>73900</v>
      </c>
      <c r="F32" s="22" t="n">
        <v>3.8</v>
      </c>
      <c r="G32" s="22" t="n">
        <v>3.4</v>
      </c>
      <c r="H32" s="22" t="inlineStr">
        <is>
          <t>No</t>
        </is>
      </c>
    </row>
    <row r="33" ht="15" customHeight="1" s="18">
      <c r="A33" s="22" t="inlineStr">
        <is>
          <t>E2031</t>
        </is>
      </c>
      <c r="B33" s="22" t="inlineStr">
        <is>
          <t>Engineering</t>
        </is>
      </c>
      <c r="C33" s="22" t="inlineStr">
        <is>
          <t>Mid</t>
        </is>
      </c>
      <c r="D33" s="22" t="n">
        <v>2022</v>
      </c>
      <c r="E33" s="31" t="n">
        <v>95600</v>
      </c>
      <c r="F33" s="22" t="n">
        <v>3.1</v>
      </c>
      <c r="G33" s="22" t="n">
        <v>3.5</v>
      </c>
      <c r="H33" s="22" t="inlineStr">
        <is>
          <t>No</t>
        </is>
      </c>
    </row>
    <row r="34" ht="15" customHeight="1" s="18">
      <c r="A34" s="22" t="inlineStr">
        <is>
          <t>E2032</t>
        </is>
      </c>
      <c r="B34" s="22" t="inlineStr">
        <is>
          <t>Engineering</t>
        </is>
      </c>
      <c r="C34" s="22" t="inlineStr">
        <is>
          <t>Mid</t>
        </is>
      </c>
      <c r="D34" s="22" t="n">
        <v>2021</v>
      </c>
      <c r="E34" s="31" t="n">
        <v>100900</v>
      </c>
      <c r="F34" s="22" t="n">
        <v>4.9</v>
      </c>
      <c r="G34" s="22" t="n">
        <v>4</v>
      </c>
      <c r="H34" s="22" t="inlineStr">
        <is>
          <t>No</t>
        </is>
      </c>
    </row>
    <row r="35" ht="15" customHeight="1" s="18">
      <c r="A35" s="22" t="inlineStr">
        <is>
          <t>E2033</t>
        </is>
      </c>
      <c r="B35" s="22" t="inlineStr">
        <is>
          <t>Operations</t>
        </is>
      </c>
      <c r="C35" s="22" t="inlineStr">
        <is>
          <t>Mid</t>
        </is>
      </c>
      <c r="D35" s="22" t="n">
        <v>2018</v>
      </c>
      <c r="E35" s="31" t="n">
        <v>62700</v>
      </c>
      <c r="F35" s="22" t="n">
        <v>7.6</v>
      </c>
      <c r="G35" s="22" t="n">
        <v>4</v>
      </c>
      <c r="H35" s="22" t="inlineStr">
        <is>
          <t>No</t>
        </is>
      </c>
    </row>
    <row r="36" ht="15" customHeight="1" s="18">
      <c r="A36" s="22" t="inlineStr">
        <is>
          <t>E2034</t>
        </is>
      </c>
      <c r="B36" s="22" t="inlineStr">
        <is>
          <t>Finance</t>
        </is>
      </c>
      <c r="C36" s="22" t="inlineStr">
        <is>
          <t>Mid</t>
        </is>
      </c>
      <c r="D36" s="22" t="n">
        <v>2022</v>
      </c>
      <c r="E36" s="31" t="n">
        <v>80300</v>
      </c>
      <c r="F36" s="22" t="n">
        <v>3.4</v>
      </c>
      <c r="G36" s="22" t="n">
        <v>4.2</v>
      </c>
      <c r="H36" s="22" t="inlineStr">
        <is>
          <t>No</t>
        </is>
      </c>
    </row>
    <row r="37" ht="15" customHeight="1" s="18">
      <c r="A37" s="22" t="inlineStr">
        <is>
          <t>E2035</t>
        </is>
      </c>
      <c r="B37" s="22" t="inlineStr">
        <is>
          <t>HR</t>
        </is>
      </c>
      <c r="C37" s="22" t="inlineStr">
        <is>
          <t>Mid</t>
        </is>
      </c>
      <c r="D37" s="22" t="n">
        <v>2018</v>
      </c>
      <c r="E37" s="31" t="n">
        <v>60500</v>
      </c>
      <c r="F37" s="22" t="n">
        <v>7.9</v>
      </c>
      <c r="G37" s="22" t="n">
        <v>3.8</v>
      </c>
      <c r="H37" s="22" t="inlineStr">
        <is>
          <t>No</t>
        </is>
      </c>
    </row>
    <row r="38" ht="15" customHeight="1" s="18">
      <c r="A38" s="22" t="inlineStr">
        <is>
          <t>E2036</t>
        </is>
      </c>
      <c r="B38" s="22" t="inlineStr">
        <is>
          <t>HR</t>
        </is>
      </c>
      <c r="C38" s="22" t="inlineStr">
        <is>
          <t>Junior</t>
        </is>
      </c>
      <c r="D38" s="22" t="n">
        <v>2025</v>
      </c>
      <c r="E38" s="31" t="n">
        <v>53600</v>
      </c>
      <c r="F38" s="22" t="n">
        <v>0.7</v>
      </c>
      <c r="G38" s="22" t="n">
        <v>2.7</v>
      </c>
      <c r="H38" s="22" t="inlineStr">
        <is>
          <t>No</t>
        </is>
      </c>
    </row>
    <row r="39" ht="15" customHeight="1" s="18">
      <c r="A39" s="22" t="inlineStr">
        <is>
          <t>E2037</t>
        </is>
      </c>
      <c r="B39" s="22" t="inlineStr">
        <is>
          <t>Engineering</t>
        </is>
      </c>
      <c r="C39" s="22" t="inlineStr">
        <is>
          <t>Senior</t>
        </is>
      </c>
      <c r="D39" s="22" t="n">
        <v>2024</v>
      </c>
      <c r="E39" s="31" t="n">
        <v>115000</v>
      </c>
      <c r="F39" s="22" t="n">
        <v>1.9</v>
      </c>
      <c r="G39" s="22" t="n">
        <v>4.4</v>
      </c>
      <c r="H39" s="22" t="inlineStr">
        <is>
          <t>No</t>
        </is>
      </c>
    </row>
    <row r="40" ht="15" customHeight="1" s="18">
      <c r="A40" s="22" t="inlineStr">
        <is>
          <t>E2038</t>
        </is>
      </c>
      <c r="B40" s="22" t="inlineStr">
        <is>
          <t>Sales</t>
        </is>
      </c>
      <c r="C40" s="22" t="inlineStr">
        <is>
          <t>Junior</t>
        </is>
      </c>
      <c r="D40" s="22" t="n">
        <v>2020</v>
      </c>
      <c r="E40" s="31" t="n">
        <v>63400</v>
      </c>
      <c r="F40" s="22" t="n">
        <v>6</v>
      </c>
      <c r="G40" s="22" t="n">
        <v>3.1</v>
      </c>
      <c r="H40" s="22" t="inlineStr">
        <is>
          <t>No</t>
        </is>
      </c>
    </row>
    <row r="41" ht="15" customHeight="1" s="18">
      <c r="A41" s="22" t="inlineStr">
        <is>
          <t>E2039</t>
        </is>
      </c>
      <c r="B41" s="22" t="inlineStr">
        <is>
          <t>Engineering</t>
        </is>
      </c>
      <c r="C41" s="22" t="inlineStr">
        <is>
          <t>Lead</t>
        </is>
      </c>
      <c r="D41" s="22" t="n">
        <v>2018</v>
      </c>
      <c r="E41" s="31" t="n">
        <v>132900</v>
      </c>
      <c r="F41" s="22" t="n">
        <v>7.7</v>
      </c>
      <c r="G41" s="22" t="n">
        <v>2.9</v>
      </c>
      <c r="H41" s="22" t="inlineStr">
        <is>
          <t>No</t>
        </is>
      </c>
    </row>
    <row r="42" ht="15" customHeight="1" s="18">
      <c r="A42" s="22" t="inlineStr">
        <is>
          <t>E2040</t>
        </is>
      </c>
      <c r="B42" s="22" t="inlineStr">
        <is>
          <t>Marketing</t>
        </is>
      </c>
      <c r="C42" s="22" t="inlineStr">
        <is>
          <t>Lead</t>
        </is>
      </c>
      <c r="D42" s="22" t="n">
        <v>2025</v>
      </c>
      <c r="E42" s="31" t="n">
        <v>93600</v>
      </c>
      <c r="F42" s="22" t="n">
        <v>1</v>
      </c>
      <c r="G42" s="22" t="n">
        <v>3.5</v>
      </c>
      <c r="H42" s="22" t="inlineStr">
        <is>
          <t>No</t>
        </is>
      </c>
    </row>
    <row r="43" ht="15" customHeight="1" s="18">
      <c r="A43" s="22" t="inlineStr">
        <is>
          <t>E2041</t>
        </is>
      </c>
      <c r="B43" s="22" t="inlineStr">
        <is>
          <t>Sales</t>
        </is>
      </c>
      <c r="C43" s="22" t="inlineStr">
        <is>
          <t>Mid</t>
        </is>
      </c>
      <c r="D43" s="22" t="n">
        <v>2018</v>
      </c>
      <c r="E43" s="31" t="n">
        <v>73500</v>
      </c>
      <c r="F43" s="22" t="n">
        <v>7.2</v>
      </c>
      <c r="G43" s="22" t="n">
        <v>4.5</v>
      </c>
      <c r="H43" s="22" t="inlineStr">
        <is>
          <t>No</t>
        </is>
      </c>
    </row>
    <row r="44" ht="15" customHeight="1" s="18">
      <c r="A44" s="22" t="inlineStr">
        <is>
          <t>E2042</t>
        </is>
      </c>
      <c r="B44" s="22" t="inlineStr">
        <is>
          <t>HR</t>
        </is>
      </c>
      <c r="C44" s="22" t="inlineStr">
        <is>
          <t>Senior</t>
        </is>
      </c>
      <c r="D44" s="22" t="n">
        <v>2019</v>
      </c>
      <c r="E44" s="31" t="n">
        <v>73300</v>
      </c>
      <c r="F44" s="22" t="n">
        <v>6.6</v>
      </c>
      <c r="G44" s="22" t="n">
        <v>4</v>
      </c>
      <c r="H44" s="22" t="inlineStr">
        <is>
          <t>No</t>
        </is>
      </c>
    </row>
    <row r="45" ht="15" customHeight="1" s="18">
      <c r="A45" s="22" t="inlineStr">
        <is>
          <t>E2043</t>
        </is>
      </c>
      <c r="B45" s="22" t="inlineStr">
        <is>
          <t>HR</t>
        </is>
      </c>
      <c r="C45" s="22" t="inlineStr">
        <is>
          <t>Junior</t>
        </is>
      </c>
      <c r="D45" s="22" t="n">
        <v>2023</v>
      </c>
      <c r="E45" s="31" t="n">
        <v>51700</v>
      </c>
      <c r="F45" s="22" t="n">
        <v>2.5</v>
      </c>
      <c r="G45" s="22" t="n">
        <v>2.6</v>
      </c>
      <c r="H45" s="22" t="inlineStr">
        <is>
          <t>Yes</t>
        </is>
      </c>
    </row>
    <row r="46" ht="15" customHeight="1" s="18">
      <c r="A46" s="22" t="inlineStr">
        <is>
          <t>E2044</t>
        </is>
      </c>
      <c r="B46" s="22" t="inlineStr">
        <is>
          <t>Engineering</t>
        </is>
      </c>
      <c r="C46" s="22" t="inlineStr">
        <is>
          <t>Lead</t>
        </is>
      </c>
      <c r="D46" s="22" t="n">
        <v>2018</v>
      </c>
      <c r="E46" s="31" t="n">
        <v>134400</v>
      </c>
      <c r="F46" s="22" t="n">
        <v>7.5</v>
      </c>
      <c r="G46" s="22" t="n">
        <v>3.2</v>
      </c>
      <c r="H46" s="22" t="inlineStr">
        <is>
          <t>No</t>
        </is>
      </c>
    </row>
    <row r="47" ht="15" customHeight="1" s="18">
      <c r="A47" s="22" t="inlineStr">
        <is>
          <t>E2045</t>
        </is>
      </c>
      <c r="B47" s="22" t="inlineStr">
        <is>
          <t>Sales</t>
        </is>
      </c>
      <c r="C47" s="22" t="inlineStr">
        <is>
          <t>Junior</t>
        </is>
      </c>
      <c r="D47" s="22" t="n">
        <v>2018</v>
      </c>
      <c r="E47" s="31" t="n">
        <v>65500</v>
      </c>
      <c r="F47" s="22" t="n">
        <v>7.2</v>
      </c>
      <c r="G47" s="22" t="n">
        <v>3</v>
      </c>
      <c r="H47" s="22" t="inlineStr">
        <is>
          <t>No</t>
        </is>
      </c>
    </row>
    <row r="48" ht="15" customHeight="1" s="18">
      <c r="A48" s="22" t="inlineStr">
        <is>
          <t>E2046</t>
        </is>
      </c>
      <c r="B48" s="22" t="inlineStr">
        <is>
          <t>Operations</t>
        </is>
      </c>
      <c r="C48" s="22" t="inlineStr">
        <is>
          <t>Manager</t>
        </is>
      </c>
      <c r="D48" s="22" t="n">
        <v>2022</v>
      </c>
      <c r="E48" s="31" t="n">
        <v>91800</v>
      </c>
      <c r="F48" s="22" t="n">
        <v>3.3</v>
      </c>
      <c r="G48" s="22" t="n">
        <v>3.7</v>
      </c>
      <c r="H48" s="22" t="inlineStr">
        <is>
          <t>No</t>
        </is>
      </c>
    </row>
    <row r="49" ht="15" customHeight="1" s="18">
      <c r="A49" s="22" t="inlineStr">
        <is>
          <t>E2047</t>
        </is>
      </c>
      <c r="B49" s="22" t="inlineStr">
        <is>
          <t>Engineering</t>
        </is>
      </c>
      <c r="C49" s="22" t="inlineStr">
        <is>
          <t>Junior</t>
        </is>
      </c>
      <c r="D49" s="22" t="n">
        <v>2018</v>
      </c>
      <c r="E49" s="31" t="n">
        <v>85500</v>
      </c>
      <c r="F49" s="22" t="n">
        <v>7.5</v>
      </c>
      <c r="G49" s="22" t="n">
        <v>2.8</v>
      </c>
      <c r="H49" s="22" t="inlineStr">
        <is>
          <t>No</t>
        </is>
      </c>
    </row>
    <row r="50" ht="15" customHeight="1" s="18">
      <c r="A50" s="22" t="inlineStr">
        <is>
          <t>E2048</t>
        </is>
      </c>
      <c r="B50" s="22" t="inlineStr">
        <is>
          <t>Engineering</t>
        </is>
      </c>
      <c r="C50" s="22" t="inlineStr">
        <is>
          <t>Mid</t>
        </is>
      </c>
      <c r="D50" s="22" t="n">
        <v>2021</v>
      </c>
      <c r="E50" s="31" t="n">
        <v>98000</v>
      </c>
      <c r="F50" s="22" t="n">
        <v>4.6</v>
      </c>
      <c r="G50" s="22" t="n">
        <v>4.1</v>
      </c>
      <c r="H50" s="22" t="inlineStr">
        <is>
          <t>No</t>
        </is>
      </c>
    </row>
    <row r="51" ht="15" customHeight="1" s="18">
      <c r="A51" s="22" t="inlineStr">
        <is>
          <t>E2049</t>
        </is>
      </c>
      <c r="B51" s="22" t="inlineStr">
        <is>
          <t>Operations</t>
        </is>
      </c>
      <c r="C51" s="22" t="inlineStr">
        <is>
          <t>Manager</t>
        </is>
      </c>
      <c r="D51" s="22" t="n">
        <v>2024</v>
      </c>
      <c r="E51" s="31" t="n">
        <v>97200</v>
      </c>
      <c r="F51" s="22" t="n">
        <v>1.1</v>
      </c>
      <c r="G51" s="22" t="n">
        <v>3.4</v>
      </c>
      <c r="H51" s="22" t="inlineStr">
        <is>
          <t>No</t>
        </is>
      </c>
    </row>
    <row r="52" ht="15" customHeight="1" s="18">
      <c r="A52" s="22" t="inlineStr">
        <is>
          <t>E2050</t>
        </is>
      </c>
      <c r="B52" s="22" t="inlineStr">
        <is>
          <t>Operations</t>
        </is>
      </c>
      <c r="C52" s="22" t="inlineStr">
        <is>
          <t>Mid</t>
        </is>
      </c>
      <c r="D52" s="22" t="n">
        <v>2024</v>
      </c>
      <c r="E52" s="31" t="n">
        <v>64500</v>
      </c>
      <c r="F52" s="22" t="n">
        <v>1.4</v>
      </c>
      <c r="G52" s="22" t="n">
        <v>3.2</v>
      </c>
      <c r="H52" s="22" t="inlineStr">
        <is>
          <t>No</t>
        </is>
      </c>
    </row>
    <row r="53" ht="15" customHeight="1" s="18">
      <c r="A53" s="22" t="inlineStr">
        <is>
          <t>E2051</t>
        </is>
      </c>
      <c r="B53" s="22" t="inlineStr">
        <is>
          <t>Customer Support</t>
        </is>
      </c>
      <c r="C53" s="22" t="inlineStr">
        <is>
          <t>Mid</t>
        </is>
      </c>
      <c r="D53" s="22" t="n">
        <v>2020</v>
      </c>
      <c r="E53" s="31" t="n">
        <v>57200</v>
      </c>
      <c r="F53" s="22" t="n">
        <v>5.9</v>
      </c>
      <c r="G53" s="22" t="n">
        <v>2.9</v>
      </c>
      <c r="H53" s="22" t="inlineStr">
        <is>
          <t>No</t>
        </is>
      </c>
    </row>
    <row r="54" ht="15" customHeight="1" s="18">
      <c r="A54" s="22" t="inlineStr">
        <is>
          <t>E2052</t>
        </is>
      </c>
      <c r="B54" s="22" t="inlineStr">
        <is>
          <t>Marketing</t>
        </is>
      </c>
      <c r="C54" s="22" t="inlineStr">
        <is>
          <t>Lead</t>
        </is>
      </c>
      <c r="D54" s="22" t="n">
        <v>2020</v>
      </c>
      <c r="E54" s="31" t="n">
        <v>102000</v>
      </c>
      <c r="F54" s="22" t="n">
        <v>5.9</v>
      </c>
      <c r="G54" s="22" t="n">
        <v>4.1</v>
      </c>
      <c r="H54" s="22" t="inlineStr">
        <is>
          <t>No</t>
        </is>
      </c>
    </row>
    <row r="55" ht="15" customHeight="1" s="18">
      <c r="A55" s="22" t="inlineStr">
        <is>
          <t>E2053</t>
        </is>
      </c>
      <c r="B55" s="22" t="inlineStr">
        <is>
          <t>HR</t>
        </is>
      </c>
      <c r="C55" s="22" t="inlineStr">
        <is>
          <t>Manager</t>
        </is>
      </c>
      <c r="D55" s="22" t="n">
        <v>2022</v>
      </c>
      <c r="E55" s="31" t="n">
        <v>109900</v>
      </c>
      <c r="F55" s="22" t="n">
        <v>3.4</v>
      </c>
      <c r="G55" s="22" t="n">
        <v>4.3</v>
      </c>
      <c r="H55" s="22" t="inlineStr">
        <is>
          <t>No</t>
        </is>
      </c>
    </row>
    <row r="56" ht="15" customHeight="1" s="18">
      <c r="A56" s="22" t="inlineStr">
        <is>
          <t>E2054</t>
        </is>
      </c>
      <c r="B56" s="22" t="inlineStr">
        <is>
          <t>Customer Support</t>
        </is>
      </c>
      <c r="C56" s="22" t="inlineStr">
        <is>
          <t>Senior</t>
        </is>
      </c>
      <c r="D56" s="22" t="n">
        <v>2021</v>
      </c>
      <c r="E56" s="31" t="n">
        <v>63600</v>
      </c>
      <c r="F56" s="22" t="n">
        <v>4.7</v>
      </c>
      <c r="G56" s="22" t="n">
        <v>3.8</v>
      </c>
      <c r="H56" s="22" t="inlineStr">
        <is>
          <t>No</t>
        </is>
      </c>
    </row>
    <row r="57" ht="15" customHeight="1" s="18">
      <c r="A57" s="22" t="inlineStr">
        <is>
          <t>E2055</t>
        </is>
      </c>
      <c r="B57" s="22" t="inlineStr">
        <is>
          <t>Sales</t>
        </is>
      </c>
      <c r="C57" s="22" t="inlineStr">
        <is>
          <t>Lead</t>
        </is>
      </c>
      <c r="D57" s="22" t="n">
        <v>2020</v>
      </c>
      <c r="E57" s="31" t="n">
        <v>108300</v>
      </c>
      <c r="F57" s="22" t="n">
        <v>5.6</v>
      </c>
      <c r="G57" s="22" t="n">
        <v>3.2</v>
      </c>
      <c r="H57" s="22" t="inlineStr">
        <is>
          <t>No</t>
        </is>
      </c>
    </row>
    <row r="58" ht="15" customHeight="1" s="18">
      <c r="A58" s="22" t="inlineStr">
        <is>
          <t>E2056</t>
        </is>
      </c>
      <c r="B58" s="22" t="inlineStr">
        <is>
          <t>Engineering</t>
        </is>
      </c>
      <c r="C58" s="22" t="inlineStr">
        <is>
          <t>Manager</t>
        </is>
      </c>
      <c r="D58" s="22" t="n">
        <v>2018</v>
      </c>
      <c r="E58" s="31" t="n">
        <v>157400</v>
      </c>
      <c r="F58" s="22" t="n">
        <v>7.6</v>
      </c>
      <c r="G58" s="22" t="n">
        <v>4</v>
      </c>
      <c r="H58" s="22" t="inlineStr">
        <is>
          <t>No</t>
        </is>
      </c>
    </row>
    <row r="59" ht="15" customHeight="1" s="18">
      <c r="A59" s="22" t="inlineStr">
        <is>
          <t>E2057</t>
        </is>
      </c>
      <c r="B59" s="22" t="inlineStr">
        <is>
          <t>Operations</t>
        </is>
      </c>
      <c r="C59" s="22" t="inlineStr">
        <is>
          <t>Lead</t>
        </is>
      </c>
      <c r="D59" s="22" t="n">
        <v>2021</v>
      </c>
      <c r="E59" s="31" t="n">
        <v>88900</v>
      </c>
      <c r="F59" s="22" t="n">
        <v>4.2</v>
      </c>
      <c r="G59" s="22" t="n">
        <v>3</v>
      </c>
      <c r="H59" s="22" t="inlineStr">
        <is>
          <t>No</t>
        </is>
      </c>
    </row>
    <row r="60" ht="15" customHeight="1" s="18">
      <c r="A60" s="22" t="inlineStr">
        <is>
          <t>E2058</t>
        </is>
      </c>
      <c r="B60" s="22" t="inlineStr">
        <is>
          <t>Engineering</t>
        </is>
      </c>
      <c r="C60" s="22" t="inlineStr">
        <is>
          <t>Mid</t>
        </is>
      </c>
      <c r="D60" s="22" t="n">
        <v>2022</v>
      </c>
      <c r="E60" s="31" t="n">
        <v>90300</v>
      </c>
      <c r="F60" s="22" t="n">
        <v>3.8</v>
      </c>
      <c r="G60" s="22" t="n">
        <v>3.6</v>
      </c>
      <c r="H60" s="22" t="inlineStr">
        <is>
          <t>No</t>
        </is>
      </c>
    </row>
    <row r="61" ht="15" customHeight="1" s="18">
      <c r="A61" s="22" t="inlineStr">
        <is>
          <t>E2059</t>
        </is>
      </c>
      <c r="B61" s="22" t="inlineStr">
        <is>
          <t>HR</t>
        </is>
      </c>
      <c r="C61" s="22" t="inlineStr">
        <is>
          <t>Senior</t>
        </is>
      </c>
      <c r="D61" s="22" t="n">
        <v>2020</v>
      </c>
      <c r="E61" s="31" t="n">
        <v>75700</v>
      </c>
      <c r="F61" s="22" t="n">
        <v>5.2</v>
      </c>
      <c r="G61" s="22" t="n">
        <v>4.1</v>
      </c>
      <c r="H61" s="22" t="inlineStr">
        <is>
          <t>No</t>
        </is>
      </c>
    </row>
    <row r="62" ht="15" customHeight="1" s="18">
      <c r="A62" s="22" t="inlineStr">
        <is>
          <t>E2060</t>
        </is>
      </c>
      <c r="B62" s="22" t="inlineStr">
        <is>
          <t>Finance</t>
        </is>
      </c>
      <c r="C62" s="22" t="inlineStr">
        <is>
          <t>Junior</t>
        </is>
      </c>
      <c r="D62" s="22" t="n">
        <v>2019</v>
      </c>
      <c r="E62" s="31" t="n">
        <v>71600</v>
      </c>
      <c r="F62" s="22" t="n">
        <v>6.9</v>
      </c>
      <c r="G62" s="22" t="n">
        <v>3.4</v>
      </c>
      <c r="H62" s="22" t="inlineStr">
        <is>
          <t>No</t>
        </is>
      </c>
    </row>
    <row r="63" ht="15" customHeight="1" s="18">
      <c r="A63" s="22" t="inlineStr">
        <is>
          <t>E2061</t>
        </is>
      </c>
      <c r="B63" s="22" t="inlineStr">
        <is>
          <t>Customer Support</t>
        </is>
      </c>
      <c r="C63" s="22" t="inlineStr">
        <is>
          <t>Junior</t>
        </is>
      </c>
      <c r="D63" s="22" t="n">
        <v>2018</v>
      </c>
      <c r="E63" s="31" t="n">
        <v>46300</v>
      </c>
      <c r="F63" s="22" t="n">
        <v>7.7</v>
      </c>
      <c r="G63" s="22" t="n">
        <v>4.2</v>
      </c>
      <c r="H63" s="22" t="inlineStr">
        <is>
          <t>No</t>
        </is>
      </c>
    </row>
    <row r="64" ht="15" customHeight="1" s="18">
      <c r="A64" s="22" t="inlineStr">
        <is>
          <t>E2062</t>
        </is>
      </c>
      <c r="B64" s="22" t="inlineStr">
        <is>
          <t>Engineering</t>
        </is>
      </c>
      <c r="C64" s="22" t="inlineStr">
        <is>
          <t>Manager</t>
        </is>
      </c>
      <c r="D64" s="22" t="n">
        <v>2025</v>
      </c>
      <c r="E64" s="31" t="n">
        <v>153100</v>
      </c>
      <c r="F64" s="22" t="n">
        <v>0.6</v>
      </c>
      <c r="G64" s="22" t="n">
        <v>3.7</v>
      </c>
      <c r="H64" s="22" t="inlineStr">
        <is>
          <t>No</t>
        </is>
      </c>
    </row>
    <row r="65" ht="15" customHeight="1" s="18">
      <c r="A65" s="22" t="inlineStr">
        <is>
          <t>E2063</t>
        </is>
      </c>
      <c r="B65" s="22" t="inlineStr">
        <is>
          <t>Engineering</t>
        </is>
      </c>
      <c r="C65" s="22" t="inlineStr">
        <is>
          <t>Manager</t>
        </is>
      </c>
      <c r="D65" s="22" t="n">
        <v>2022</v>
      </c>
      <c r="E65" s="31" t="n">
        <v>162700</v>
      </c>
      <c r="F65" s="22" t="n">
        <v>3.9</v>
      </c>
      <c r="G65" s="22" t="n">
        <v>4</v>
      </c>
      <c r="H65" s="22" t="inlineStr">
        <is>
          <t>No</t>
        </is>
      </c>
    </row>
    <row r="66" ht="15" customHeight="1" s="18">
      <c r="A66" s="22" t="inlineStr">
        <is>
          <t>E2064</t>
        </is>
      </c>
      <c r="B66" s="22" t="inlineStr">
        <is>
          <t>Finance</t>
        </is>
      </c>
      <c r="C66" s="22" t="inlineStr">
        <is>
          <t>Lead</t>
        </is>
      </c>
      <c r="D66" s="22" t="n">
        <v>2022</v>
      </c>
      <c r="E66" s="31" t="n">
        <v>115000</v>
      </c>
      <c r="F66" s="22" t="n">
        <v>3.4</v>
      </c>
      <c r="G66" s="22" t="n">
        <v>4.8</v>
      </c>
      <c r="H66" s="22" t="inlineStr">
        <is>
          <t>No</t>
        </is>
      </c>
    </row>
    <row r="67" ht="15" customHeight="1" s="18">
      <c r="A67" s="22" t="inlineStr">
        <is>
          <t>E2065</t>
        </is>
      </c>
      <c r="B67" s="22" t="inlineStr">
        <is>
          <t>Operations</t>
        </is>
      </c>
      <c r="C67" s="22" t="inlineStr">
        <is>
          <t>Senior</t>
        </is>
      </c>
      <c r="D67" s="22" t="n">
        <v>2019</v>
      </c>
      <c r="E67" s="31" t="n">
        <v>74500</v>
      </c>
      <c r="F67" s="22" t="n">
        <v>6.4</v>
      </c>
      <c r="G67" s="22" t="n">
        <v>3.2</v>
      </c>
      <c r="H67" s="22" t="inlineStr">
        <is>
          <t>Yes</t>
        </is>
      </c>
    </row>
    <row r="68" ht="15" customHeight="1" s="18">
      <c r="A68" s="22" t="inlineStr">
        <is>
          <t>E2066</t>
        </is>
      </c>
      <c r="B68" s="22" t="inlineStr">
        <is>
          <t>Sales</t>
        </is>
      </c>
      <c r="C68" s="22" t="inlineStr">
        <is>
          <t>Manager</t>
        </is>
      </c>
      <c r="D68" s="22" t="n">
        <v>2020</v>
      </c>
      <c r="E68" s="31" t="n">
        <v>124400</v>
      </c>
      <c r="F68" s="22" t="n">
        <v>5.4</v>
      </c>
      <c r="G68" s="22" t="n">
        <v>4</v>
      </c>
      <c r="H68" s="22" t="inlineStr">
        <is>
          <t>No</t>
        </is>
      </c>
    </row>
    <row r="69" ht="15" customHeight="1" s="18">
      <c r="A69" s="22" t="inlineStr">
        <is>
          <t>E2067</t>
        </is>
      </c>
      <c r="B69" s="22" t="inlineStr">
        <is>
          <t>Marketing</t>
        </is>
      </c>
      <c r="C69" s="22" t="inlineStr">
        <is>
          <t>Junior</t>
        </is>
      </c>
      <c r="D69" s="22" t="n">
        <v>2020</v>
      </c>
      <c r="E69" s="31" t="n">
        <v>60900</v>
      </c>
      <c r="F69" s="22" t="n">
        <v>5.2</v>
      </c>
      <c r="G69" s="22" t="n">
        <v>4.1</v>
      </c>
      <c r="H69" s="22" t="inlineStr">
        <is>
          <t>No</t>
        </is>
      </c>
    </row>
    <row r="70" ht="15" customHeight="1" s="18">
      <c r="A70" s="22" t="inlineStr">
        <is>
          <t>E2068</t>
        </is>
      </c>
      <c r="B70" s="22" t="inlineStr">
        <is>
          <t>Marketing</t>
        </is>
      </c>
      <c r="C70" s="22" t="inlineStr">
        <is>
          <t>Senior</t>
        </is>
      </c>
      <c r="D70" s="22" t="n">
        <v>2020</v>
      </c>
      <c r="E70" s="31" t="n">
        <v>81500</v>
      </c>
      <c r="F70" s="22" t="n">
        <v>5.6</v>
      </c>
      <c r="G70" s="22" t="n">
        <v>3.7</v>
      </c>
      <c r="H70" s="22" t="inlineStr">
        <is>
          <t>No</t>
        </is>
      </c>
    </row>
    <row r="71" ht="15" customHeight="1" s="18">
      <c r="A71" s="22" t="inlineStr">
        <is>
          <t>E2069</t>
        </is>
      </c>
      <c r="B71" s="22" t="inlineStr">
        <is>
          <t>Finance</t>
        </is>
      </c>
      <c r="C71" s="22" t="inlineStr">
        <is>
          <t>Manager</t>
        </is>
      </c>
      <c r="D71" s="22" t="n">
        <v>2024</v>
      </c>
      <c r="E71" s="31" t="n">
        <v>123200</v>
      </c>
      <c r="F71" s="22" t="n">
        <v>1.7</v>
      </c>
      <c r="G71" s="22" t="n">
        <v>3.8</v>
      </c>
      <c r="H71" s="22" t="inlineStr">
        <is>
          <t>No</t>
        </is>
      </c>
    </row>
    <row r="72" ht="15" customHeight="1" s="18">
      <c r="A72" s="22" t="inlineStr">
        <is>
          <t>E2070</t>
        </is>
      </c>
      <c r="B72" s="22" t="inlineStr">
        <is>
          <t>Operations</t>
        </is>
      </c>
      <c r="C72" s="22" t="inlineStr">
        <is>
          <t>Junior</t>
        </is>
      </c>
      <c r="D72" s="22" t="n">
        <v>2025</v>
      </c>
      <c r="E72" s="31" t="n">
        <v>50600</v>
      </c>
      <c r="F72" s="22" t="n">
        <v>0.5</v>
      </c>
      <c r="G72" s="22" t="n">
        <v>3.4</v>
      </c>
      <c r="H72" s="22" t="inlineStr">
        <is>
          <t>No</t>
        </is>
      </c>
    </row>
    <row r="73" ht="15" customHeight="1" s="18">
      <c r="A73" s="22" t="inlineStr">
        <is>
          <t>E2071</t>
        </is>
      </c>
      <c r="B73" s="22" t="inlineStr">
        <is>
          <t>Marketing</t>
        </is>
      </c>
      <c r="C73" s="22" t="inlineStr">
        <is>
          <t>Manager</t>
        </is>
      </c>
      <c r="D73" s="22" t="n">
        <v>2019</v>
      </c>
      <c r="E73" s="31" t="n">
        <v>118200</v>
      </c>
      <c r="F73" s="22" t="n">
        <v>6.7</v>
      </c>
      <c r="G73" s="22" t="n">
        <v>3</v>
      </c>
      <c r="H73" s="22" t="inlineStr">
        <is>
          <t>No</t>
        </is>
      </c>
    </row>
    <row r="74" ht="15" customHeight="1" s="18">
      <c r="A74" s="22" t="inlineStr">
        <is>
          <t>E2072</t>
        </is>
      </c>
      <c r="B74" s="22" t="inlineStr">
        <is>
          <t>Sales</t>
        </is>
      </c>
      <c r="C74" s="22" t="inlineStr">
        <is>
          <t>Junior</t>
        </is>
      </c>
      <c r="D74" s="22" t="n">
        <v>2019</v>
      </c>
      <c r="E74" s="31" t="n">
        <v>67900</v>
      </c>
      <c r="F74" s="22" t="n">
        <v>6.5</v>
      </c>
      <c r="G74" s="22" t="n">
        <v>4.4</v>
      </c>
      <c r="H74" s="22" t="inlineStr">
        <is>
          <t>No</t>
        </is>
      </c>
    </row>
    <row r="75" ht="15" customHeight="1" s="18">
      <c r="A75" s="22" t="inlineStr">
        <is>
          <t>E2073</t>
        </is>
      </c>
      <c r="B75" s="22" t="inlineStr">
        <is>
          <t>Customer Support</t>
        </is>
      </c>
      <c r="C75" s="22" t="inlineStr">
        <is>
          <t>Lead</t>
        </is>
      </c>
      <c r="D75" s="22" t="n">
        <v>2020</v>
      </c>
      <c r="E75" s="31" t="n">
        <v>72600</v>
      </c>
      <c r="F75" s="22" t="n">
        <v>5.5</v>
      </c>
      <c r="G75" s="22" t="n">
        <v>4.3</v>
      </c>
      <c r="H75" s="22" t="inlineStr">
        <is>
          <t>No</t>
        </is>
      </c>
    </row>
    <row r="76" ht="15" customHeight="1" s="18">
      <c r="A76" s="22" t="inlineStr">
        <is>
          <t>E2074</t>
        </is>
      </c>
      <c r="B76" s="22" t="inlineStr">
        <is>
          <t>Engineering</t>
        </is>
      </c>
      <c r="C76" s="22" t="inlineStr">
        <is>
          <t>Manager</t>
        </is>
      </c>
      <c r="D76" s="22" t="n">
        <v>2020</v>
      </c>
      <c r="E76" s="31" t="n">
        <v>144800</v>
      </c>
      <c r="F76" s="22" t="n">
        <v>5.5</v>
      </c>
      <c r="G76" s="22" t="n">
        <v>3.6</v>
      </c>
      <c r="H76" s="22" t="inlineStr">
        <is>
          <t>Yes</t>
        </is>
      </c>
    </row>
    <row r="77" ht="15" customHeight="1" s="18">
      <c r="A77" s="22" t="inlineStr">
        <is>
          <t>E2075</t>
        </is>
      </c>
      <c r="B77" s="22" t="inlineStr">
        <is>
          <t>HR</t>
        </is>
      </c>
      <c r="C77" s="22" t="inlineStr">
        <is>
          <t>Lead</t>
        </is>
      </c>
      <c r="D77" s="22" t="n">
        <v>2024</v>
      </c>
      <c r="E77" s="31" t="n">
        <v>96900</v>
      </c>
      <c r="F77" s="22" t="n">
        <v>1.7</v>
      </c>
      <c r="G77" s="22" t="n">
        <v>4.8</v>
      </c>
      <c r="H77" s="22" t="inlineStr">
        <is>
          <t>No</t>
        </is>
      </c>
    </row>
    <row r="78" ht="15" customHeight="1" s="18">
      <c r="A78" s="22" t="inlineStr">
        <is>
          <t>E2076</t>
        </is>
      </c>
      <c r="B78" s="22" t="inlineStr">
        <is>
          <t>Marketing</t>
        </is>
      </c>
      <c r="C78" s="22" t="inlineStr">
        <is>
          <t>Manager</t>
        </is>
      </c>
      <c r="D78" s="22" t="n">
        <v>2022</v>
      </c>
      <c r="E78" s="31" t="n">
        <v>115000</v>
      </c>
      <c r="F78" s="22" t="n">
        <v>3.2</v>
      </c>
      <c r="G78" s="22" t="n">
        <v>4</v>
      </c>
      <c r="H78" s="22" t="inlineStr">
        <is>
          <t>No</t>
        </is>
      </c>
    </row>
    <row r="79" ht="15" customHeight="1" s="18">
      <c r="A79" s="22" t="inlineStr">
        <is>
          <t>E2077</t>
        </is>
      </c>
      <c r="B79" s="22" t="inlineStr">
        <is>
          <t>Engineering</t>
        </is>
      </c>
      <c r="C79" s="22" t="inlineStr">
        <is>
          <t>Mid</t>
        </is>
      </c>
      <c r="D79" s="22" t="n">
        <v>2025</v>
      </c>
      <c r="E79" s="31" t="n">
        <v>96900</v>
      </c>
      <c r="F79" s="22" t="n">
        <v>0.8</v>
      </c>
      <c r="G79" s="22" t="n">
        <v>3.4</v>
      </c>
      <c r="H79" s="22" t="inlineStr">
        <is>
          <t>No</t>
        </is>
      </c>
    </row>
    <row r="80" ht="15" customHeight="1" s="18">
      <c r="A80" s="22" t="inlineStr">
        <is>
          <t>E2078</t>
        </is>
      </c>
      <c r="B80" s="22" t="inlineStr">
        <is>
          <t>HR</t>
        </is>
      </c>
      <c r="C80" s="22" t="inlineStr">
        <is>
          <t>Mid</t>
        </is>
      </c>
      <c r="D80" s="22" t="n">
        <v>2018</v>
      </c>
      <c r="E80" s="31" t="n">
        <v>69400</v>
      </c>
      <c r="F80" s="22" t="n">
        <v>7.3</v>
      </c>
      <c r="G80" s="22" t="n">
        <v>3.9</v>
      </c>
      <c r="H80" s="22" t="inlineStr">
        <is>
          <t>No</t>
        </is>
      </c>
    </row>
    <row r="81" ht="15" customHeight="1" s="18">
      <c r="A81" s="22" t="inlineStr">
        <is>
          <t>E2079</t>
        </is>
      </c>
      <c r="B81" s="22" t="inlineStr">
        <is>
          <t>Customer Support</t>
        </is>
      </c>
      <c r="C81" s="22" t="inlineStr">
        <is>
          <t>Mid</t>
        </is>
      </c>
      <c r="D81" s="22" t="n">
        <v>2020</v>
      </c>
      <c r="E81" s="31" t="n">
        <v>51400</v>
      </c>
      <c r="F81" s="22" t="n">
        <v>5.6</v>
      </c>
      <c r="G81" s="22" t="n">
        <v>3.5</v>
      </c>
      <c r="H81" s="22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7" min="1" max="1"/>
    <col width="12" customWidth="1" style="17" min="2" max="2"/>
    <col width="14" customWidth="1" style="17" min="3" max="3"/>
    <col width="12" customWidth="1" style="17" min="4" max="4"/>
    <col width="16" customWidth="1" style="17" min="5" max="6"/>
    <col width="14" customWidth="1" style="17" min="7" max="7"/>
  </cols>
  <sheetData>
    <row r="1" ht="15" customHeight="1" s="18">
      <c r="A1" s="30" t="inlineStr">
        <is>
          <t>Department</t>
        </is>
      </c>
      <c r="B1" s="30" t="inlineStr">
        <is>
          <t>Headcount</t>
        </is>
      </c>
      <c r="C1" s="30" t="inlineStr">
        <is>
          <t>Avg Salary</t>
        </is>
      </c>
      <c r="D1" s="30" t="inlineStr">
        <is>
          <t>Avg Tenure</t>
        </is>
      </c>
      <c r="E1" s="30" t="inlineStr">
        <is>
          <t>Avg Engagement</t>
        </is>
      </c>
      <c r="F1" s="30" t="inlineStr">
        <is>
          <t>Departed (TTM)</t>
        </is>
      </c>
      <c r="G1" s="30" t="inlineStr">
        <is>
          <t>Turnover Rate</t>
        </is>
      </c>
    </row>
    <row r="2" ht="15" customHeight="1" s="18">
      <c r="A2" s="22" t="inlineStr">
        <is>
          <t>Engineering</t>
        </is>
      </c>
      <c r="B2" s="22">
        <f>COUNTIF('Employee Data'!B:B,A2)</f>
        <v/>
      </c>
      <c r="C2" s="31">
        <f>AVERAGEIF('Employee Data'!B:B,A2,'Employee Data'!E:E)</f>
        <v/>
      </c>
      <c r="D2" s="32">
        <f>AVERAGEIF('Employee Data'!B:B,A2,'Employee Data'!F:F)</f>
        <v/>
      </c>
      <c r="E2" s="33">
        <f>AVERAGEIF('Employee Data'!B:B,A2,'Employee Data'!G:G)</f>
        <v/>
      </c>
      <c r="F2" s="22">
        <f>COUNTIFS('Employee Data'!B:B,A2,'Employee Data'!H:H,"Yes")</f>
        <v/>
      </c>
      <c r="G2" s="34">
        <f>F2/B2</f>
        <v/>
      </c>
    </row>
    <row r="3" ht="15" customHeight="1" s="18">
      <c r="A3" s="22" t="inlineStr">
        <is>
          <t>Sales</t>
        </is>
      </c>
      <c r="B3" s="22">
        <f>COUNTIF('Employee Data'!B:B,A3)</f>
        <v/>
      </c>
      <c r="C3" s="31">
        <f>AVERAGEIF('Employee Data'!B:B,A3,'Employee Data'!E:E)</f>
        <v/>
      </c>
      <c r="D3" s="32">
        <f>AVERAGEIF('Employee Data'!B:B,A3,'Employee Data'!F:F)</f>
        <v/>
      </c>
      <c r="E3" s="33">
        <f>AVERAGEIF('Employee Data'!B:B,A3,'Employee Data'!G:G)</f>
        <v/>
      </c>
      <c r="F3" s="22">
        <f>COUNTIFS('Employee Data'!B:B,A3,'Employee Data'!H:H,"Yes")</f>
        <v/>
      </c>
      <c r="G3" s="34">
        <f>F3/B3</f>
        <v/>
      </c>
    </row>
    <row r="4" ht="15" customHeight="1" s="18">
      <c r="A4" s="22" t="inlineStr">
        <is>
          <t>Marketing</t>
        </is>
      </c>
      <c r="B4" s="22">
        <f>COUNTIF('Employee Data'!B:B,A4)</f>
        <v/>
      </c>
      <c r="C4" s="31">
        <f>AVERAGEIF('Employee Data'!B:B,A4,'Employee Data'!E:E)</f>
        <v/>
      </c>
      <c r="D4" s="32">
        <f>AVERAGEIF('Employee Data'!B:B,A4,'Employee Data'!F:F)</f>
        <v/>
      </c>
      <c r="E4" s="33">
        <f>AVERAGEIF('Employee Data'!B:B,A4,'Employee Data'!G:G)</f>
        <v/>
      </c>
      <c r="F4" s="22">
        <f>COUNTIFS('Employee Data'!B:B,A4,'Employee Data'!H:H,"Yes")</f>
        <v/>
      </c>
      <c r="G4" s="34">
        <f>F4/B4</f>
        <v/>
      </c>
    </row>
    <row r="5" ht="15" customHeight="1" s="18">
      <c r="A5" s="22" t="inlineStr">
        <is>
          <t>Customer Support</t>
        </is>
      </c>
      <c r="B5" s="22">
        <f>COUNTIF('Employee Data'!B:B,A5)</f>
        <v/>
      </c>
      <c r="C5" s="31">
        <f>AVERAGEIF('Employee Data'!B:B,A5,'Employee Data'!E:E)</f>
        <v/>
      </c>
      <c r="D5" s="32">
        <f>AVERAGEIF('Employee Data'!B:B,A5,'Employee Data'!F:F)</f>
        <v/>
      </c>
      <c r="E5" s="33">
        <f>AVERAGEIF('Employee Data'!B:B,A5,'Employee Data'!G:G)</f>
        <v/>
      </c>
      <c r="F5" s="22">
        <f>COUNTIFS('Employee Data'!B:B,A5,'Employee Data'!H:H,"Yes")</f>
        <v/>
      </c>
      <c r="G5" s="34">
        <f>F5/B5</f>
        <v/>
      </c>
    </row>
    <row r="6" ht="15" customHeight="1" s="18">
      <c r="A6" s="22" t="inlineStr">
        <is>
          <t>Finance</t>
        </is>
      </c>
      <c r="B6" s="22">
        <f>COUNTIF('Employee Data'!B:B,A6)</f>
        <v/>
      </c>
      <c r="C6" s="31">
        <f>AVERAGEIF('Employee Data'!B:B,A6,'Employee Data'!E:E)</f>
        <v/>
      </c>
      <c r="D6" s="32">
        <f>AVERAGEIF('Employee Data'!B:B,A6,'Employee Data'!F:F)</f>
        <v/>
      </c>
      <c r="E6" s="33">
        <f>AVERAGEIF('Employee Data'!B:B,A6,'Employee Data'!G:G)</f>
        <v/>
      </c>
      <c r="F6" s="22">
        <f>COUNTIFS('Employee Data'!B:B,A6,'Employee Data'!H:H,"Yes")</f>
        <v/>
      </c>
      <c r="G6" s="34">
        <f>F6/B6</f>
        <v/>
      </c>
    </row>
    <row r="7" ht="15" customHeight="1" s="18">
      <c r="A7" s="22" t="inlineStr">
        <is>
          <t>HR</t>
        </is>
      </c>
      <c r="B7" s="22">
        <f>COUNTIF('Employee Data'!B:B,A7)</f>
        <v/>
      </c>
      <c r="C7" s="31">
        <f>AVERAGEIF('Employee Data'!B:B,A7,'Employee Data'!E:E)</f>
        <v/>
      </c>
      <c r="D7" s="32">
        <f>AVERAGEIF('Employee Data'!B:B,A7,'Employee Data'!F:F)</f>
        <v/>
      </c>
      <c r="E7" s="33">
        <f>AVERAGEIF('Employee Data'!B:B,A7,'Employee Data'!G:G)</f>
        <v/>
      </c>
      <c r="F7" s="22">
        <f>COUNTIFS('Employee Data'!B:B,A7,'Employee Data'!H:H,"Yes")</f>
        <v/>
      </c>
      <c r="G7" s="34">
        <f>F7/B7</f>
        <v/>
      </c>
    </row>
    <row r="8" ht="15" customHeight="1" s="18">
      <c r="A8" s="22" t="inlineStr">
        <is>
          <t>Operations</t>
        </is>
      </c>
      <c r="B8" s="22">
        <f>COUNTIF('Employee Data'!B:B,A8)</f>
        <v/>
      </c>
      <c r="C8" s="31">
        <f>AVERAGEIF('Employee Data'!B:B,A8,'Employee Data'!E:E)</f>
        <v/>
      </c>
      <c r="D8" s="32">
        <f>AVERAGEIF('Employee Data'!B:B,A8,'Employee Data'!F:F)</f>
        <v/>
      </c>
      <c r="E8" s="33">
        <f>AVERAGEIF('Employee Data'!B:B,A8,'Employee Data'!G:G)</f>
        <v/>
      </c>
      <c r="F8" s="22">
        <f>COUNTIFS('Employee Data'!B:B,A8,'Employee Data'!H:H,"Yes")</f>
        <v/>
      </c>
      <c r="G8" s="34">
        <f>F8/B8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2026-06-30T03:34:04Z</dcterms:created>
  <dcterms:modified xmlns:dcterms="http://purl.org/dc/terms/" xmlns:xsi="http://www.w3.org/2001/XMLSchema-instance" xsi:type="dcterms:W3CDTF">2026-06-30T03:44:52Z</dcterms:modified>
  <cp:revision>1</cp:revision>
</cp:coreProperties>
</file>