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eld Data" sheetId="2" state="visible" r:id="rId2"/>
    <sheet xmlns:r="http://schemas.openxmlformats.org/officeDocument/2006/relationships" name="Crop Summary" sheetId="3" state="visible" r:id="rId3"/>
    <sheet xmlns:r="http://schemas.openxmlformats.org/officeDocument/2006/relationships" name="Regional Summa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E7D32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2E7D32"/>
      <sz val="11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Yield by Crop (tons/ha)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'Crop Summary'!D1</f>
              <strCache>
                <ptCount val="1"/>
                <pt idx="0">
                  <v>Avg Yield (tons/ha)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'Crop Summary'!$A$2:$A$6</f>
              <strCache>
                <ptCount val="5"/>
                <pt idx="0">
                  <v>Maize</v>
                </pt>
                <pt idx="1">
                  <v>Soybean</v>
                </pt>
                <pt idx="2">
                  <v>Wheat</v>
                </pt>
                <pt idx="3">
                  <v>Rice</v>
                </pt>
                <pt idx="4">
                  <v>Sorghum</v>
                </pt>
              </strCache>
            </strRef>
          </cat>
          <val>
            <numRef>
              <f>'Crop Summary'!$D$2:$D$6</f>
              <numCache>
                <formatCode>0.00</formatCode>
                <ptCount val="5"/>
                <pt idx="0">
                  <v>5.93701550387597</v>
                </pt>
                <pt idx="1">
                  <v>3.37787513691128</v>
                </pt>
                <pt idx="2">
                  <v>3.97095238095238</v>
                </pt>
                <pt idx="3">
                  <v>5.51910248635537</v>
                </pt>
                <pt idx="4">
                  <v>2.81952364978195</v>
                </pt>
              </numCache>
            </numRef>
          </val>
        </ser>
        <gapWidth val="150"/>
        <overlap val="0"/>
        <axId val="86444766"/>
        <axId val="72706055"/>
      </barChart>
      <catAx>
        <axId val="8644476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706055"/>
        <crosses val="autoZero"/>
        <auto val="1"/>
        <lblAlgn val="ctr"/>
        <lblOffset val="100"/>
        <noMultiLvlLbl val="0"/>
      </catAx>
      <valAx>
        <axId val="7270605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4447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vs Cost by Crop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'Crop Summary'!E1</f>
              <strCache>
                <ptCount val="1"/>
                <pt idx="0">
                  <v>Total Revenue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'Crop Summary'!$A$2:$A$6</f>
              <strCache>
                <ptCount val="5"/>
                <pt idx="0">
                  <v>Maize</v>
                </pt>
                <pt idx="1">
                  <v>Soybean</v>
                </pt>
                <pt idx="2">
                  <v>Wheat</v>
                </pt>
                <pt idx="3">
                  <v>Rice</v>
                </pt>
                <pt idx="4">
                  <v>Sorghum</v>
                </pt>
              </strCache>
            </strRef>
          </cat>
          <val>
            <numRef>
              <f>'Crop Summary'!$E$2:$E$6</f>
              <numCache>
                <formatCode>\$#,##0</formatCode>
                <ptCount val="5"/>
                <pt idx="0">
                  <v>259660</v>
                </pt>
                <pt idx="1">
                  <v>125310</v>
                </pt>
                <pt idx="2">
                  <v>651200</v>
                </pt>
                <pt idx="3">
                  <v>275720</v>
                </pt>
                <pt idx="4">
                  <v>159970</v>
                </pt>
              </numCache>
            </numRef>
          </val>
        </ser>
        <ser>
          <idx val="1"/>
          <order val="1"/>
          <tx>
            <strRef>
              <f>'Crop Summary'!F1</f>
              <strCache>
                <ptCount val="1"/>
                <pt idx="0">
                  <v>Total Cost ($)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'Crop Summary'!$A$2:$A$6</f>
              <strCache>
                <ptCount val="5"/>
                <pt idx="0">
                  <v>Maize</v>
                </pt>
                <pt idx="1">
                  <v>Soybean</v>
                </pt>
                <pt idx="2">
                  <v>Wheat</v>
                </pt>
                <pt idx="3">
                  <v>Rice</v>
                </pt>
                <pt idx="4">
                  <v>Sorghum</v>
                </pt>
              </strCache>
            </strRef>
          </cat>
          <val>
            <numRef>
              <f>'Crop Summary'!$F$2:$F$6</f>
              <numCache>
                <formatCode>\$#,##0</formatCode>
                <ptCount val="5"/>
                <pt idx="0">
                  <v>138330</v>
                </pt>
                <pt idx="1">
                  <v>47120</v>
                </pt>
                <pt idx="2">
                  <v>297430</v>
                </pt>
                <pt idx="3">
                  <v>115810</v>
                </pt>
                <pt idx="4">
                  <v>127200</v>
                </pt>
              </numCache>
            </numRef>
          </val>
        </ser>
        <gapWidth val="150"/>
        <overlap val="0"/>
        <axId val="83205228"/>
        <axId val="45673662"/>
      </barChart>
      <catAx>
        <axId val="832052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5673662"/>
        <crosses val="autoZero"/>
        <auto val="1"/>
        <lblAlgn val="ctr"/>
        <lblOffset val="100"/>
        <noMultiLvlLbl val="0"/>
      </catAx>
      <valAx>
        <axId val="4567366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20522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Cultivated Area Share by Crop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'Crop Summary'!B1</f>
              <strCache>
                <ptCount val="1"/>
                <pt idx="0">
                  <v>Total Area (ha)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'Crop Summary'!$A$2:$A$6</f>
              <strCache>
                <ptCount val="5"/>
                <pt idx="0">
                  <v>Maize</v>
                </pt>
                <pt idx="1">
                  <v>Soybean</v>
                </pt>
                <pt idx="2">
                  <v>Wheat</v>
                </pt>
                <pt idx="3">
                  <v>Rice</v>
                </pt>
                <pt idx="4">
                  <v>Sorghum</v>
                </pt>
              </strCache>
            </strRef>
          </cat>
          <val>
            <numRef>
              <f>'Crop Summary'!$B$2:$B$6</f>
              <numCache>
                <formatCode>General</formatCode>
                <ptCount val="5"/>
                <pt idx="0">
                  <v>206.4</v>
                </pt>
                <pt idx="1">
                  <v>91.3</v>
                </pt>
                <pt idx="2">
                  <v>630</v>
                </pt>
                <pt idx="3">
                  <v>164.9</v>
                </pt>
                <pt idx="4">
                  <v>298.1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'Regional Summary'!E1</f>
              <strCache>
                <ptCount val="1"/>
                <pt idx="0">
                  <v>Total Revenue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'Regional Summary'!$A$2:$A$5</f>
              <strCache>
                <ptCount val="4"/>
                <pt idx="0">
                  <v>Northern Plains</v>
                </pt>
                <pt idx="1">
                  <v>River Valley</v>
                </pt>
                <pt idx="2">
                  <v>Eastern Highlands</v>
                </pt>
                <pt idx="3">
                  <v>Southern Delta</v>
                </pt>
              </strCache>
            </strRef>
          </cat>
          <val>
            <numRef>
              <f>'Regional Summary'!$E$2:$E$5</f>
              <numCache>
                <formatCode>\$#,##0</formatCode>
                <ptCount val="4"/>
                <pt idx="0">
                  <v>318590</v>
                </pt>
                <pt idx="1">
                  <v>466200</v>
                </pt>
                <pt idx="2">
                  <v>256210</v>
                </pt>
                <pt idx="3">
                  <v>430860</v>
                </pt>
              </numCache>
            </numRef>
          </val>
        </ser>
        <gapWidth val="150"/>
        <overlap val="0"/>
        <axId val="79555454"/>
        <axId val="5502626"/>
      </barChart>
      <catAx>
        <axId val="7955545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502626"/>
        <crosses val="autoZero"/>
        <auto val="1"/>
        <lblAlgn val="ctr"/>
        <lblOffset val="100"/>
        <noMultiLvlLbl val="0"/>
      </catAx>
      <valAx>
        <axId val="550262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95554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1</row>
      <rowOff>0</rowOff>
    </from>
    <to>
      <col>18</col>
      <colOff>364680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19</row>
      <rowOff>0</rowOff>
    </from>
    <to>
      <col>18</col>
      <colOff>364680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37</row>
      <rowOff>0</rowOff>
    </from>
    <to>
      <col>17</col>
      <colOff>255960</colOff>
      <row>57</row>
      <rowOff>149400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0</colOff>
      <row>1</row>
      <rowOff>0</rowOff>
    </from>
    <to>
      <col>15</col>
      <colOff>256320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0" customWidth="1" style="15" min="2" max="2"/>
    <col width="16" customWidth="1" style="15" min="3" max="3"/>
  </cols>
  <sheetData>
    <row r="1"/>
    <row r="2" ht="19.7" customHeight="1" s="16">
      <c r="B2" s="17" t="inlineStr">
        <is>
          <t>Crop Yield &amp; Farm Operations Analysis | a regional agribusiness operator</t>
        </is>
      </c>
    </row>
    <row r="3" ht="15" customHeight="1" s="16">
      <c r="B3" s="18" t="inlineStr">
        <is>
          <t>Prepared by the Agronomy &amp; Farm Operations Analytics Team — the parent holding group</t>
        </is>
      </c>
    </row>
    <row r="4"/>
    <row r="5" ht="15" customHeight="1" s="16">
      <c r="B5" s="19" t="inlineStr">
        <is>
          <t>Key Metric</t>
        </is>
      </c>
      <c r="C5" s="19" t="inlineStr">
        <is>
          <t>Value</t>
        </is>
      </c>
    </row>
    <row r="6" ht="15" customHeight="1" s="16">
      <c r="B6" s="20" t="inlineStr">
        <is>
          <t>Total Cultivated Area (ha)</t>
        </is>
      </c>
      <c r="C6" s="21">
        <f>SUM('Field Data'!E2:E25)</f>
        <v/>
      </c>
    </row>
    <row r="7" ht="15" customHeight="1" s="16">
      <c r="B7" s="20" t="inlineStr">
        <is>
          <t>Total Harvest Volume (tons)</t>
        </is>
      </c>
      <c r="C7" s="21">
        <f>SUM('Field Data'!H2:H25)</f>
        <v/>
      </c>
    </row>
    <row r="8" ht="15" customHeight="1" s="16">
      <c r="B8" s="20" t="inlineStr">
        <is>
          <t>Avg Yield (tons/ha)</t>
        </is>
      </c>
      <c r="C8" s="22">
        <f>C7/C6</f>
        <v/>
      </c>
    </row>
    <row r="9" ht="15" customHeight="1" s="16">
      <c r="B9" s="20" t="inlineStr">
        <is>
          <t>Total Production Cost</t>
        </is>
      </c>
      <c r="C9" s="23">
        <f>SUM('Field Data'!I2:I25)</f>
        <v/>
      </c>
    </row>
    <row r="10" ht="15" customHeight="1" s="16">
      <c r="B10" s="20" t="inlineStr">
        <is>
          <t>Total Revenue</t>
        </is>
      </c>
      <c r="C10" s="23">
        <f>SUM('Field Data'!J2:J25)</f>
        <v/>
      </c>
    </row>
    <row r="11" ht="15" customHeight="1" s="16">
      <c r="B11" s="20" t="inlineStr">
        <is>
          <t>Gross Margin</t>
        </is>
      </c>
      <c r="C11" s="24">
        <f>(C10-C9)/C10</f>
        <v/>
      </c>
    </row>
    <row r="12"/>
    <row r="13" ht="15" customHeight="1" s="16">
      <c r="B13" s="25" t="inlineStr">
        <is>
          <t>Key Findings</t>
        </is>
      </c>
    </row>
    <row r="14" ht="15" customHeight="1" s="16">
      <c r="B14" s="26" t="inlineStr">
        <is>
          <t>1. Maize and soybean fields deliver the highest yield per hectare among all crops grown this season.</t>
        </is>
      </c>
    </row>
    <row r="15" ht="15" customHeight="1" s="16">
      <c r="B15" s="26" t="inlineStr">
        <is>
          <t>2. Irrigated fields outperform rain-fed fields by a wide margin in both yield and revenue per hectare.</t>
        </is>
      </c>
    </row>
    <row r="16" ht="15" customHeight="1" s="16">
      <c r="B16" s="26" t="inlineStr">
        <is>
          <t>3. Fertilizer cost per hectare correlates positively with yield, but returns diminish beyond a certain threshold.</t>
        </is>
      </c>
    </row>
    <row r="17" ht="15" customHeight="1" s="16">
      <c r="B17" s="26" t="inlineStr">
        <is>
          <t>4. The Northern Plains region has the most productive soil conditions, followed by the River Valley region.</t>
        </is>
      </c>
    </row>
    <row r="18" ht="15" customHeight="1" s="16">
      <c r="B18" s="26" t="inlineStr">
        <is>
          <t>5. Wheat shows the lowest gross margin of the major crops, mainly due to high input cost relative to market price.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5" min="1" max="1"/>
    <col width="16" customWidth="1" style="15" min="2" max="2"/>
    <col width="10" customWidth="1" style="15" min="3" max="3"/>
    <col width="14" customWidth="1" style="15" min="4" max="4"/>
    <col width="10" customWidth="1" style="15" min="5" max="5"/>
    <col width="13" customWidth="1" style="15" min="6" max="6"/>
    <col width="15" customWidth="1" style="15" min="7" max="7"/>
    <col width="16" customWidth="1" style="15" min="8" max="8"/>
    <col width="15" customWidth="1" style="15" min="9" max="9"/>
    <col width="12" customWidth="1" style="15" min="10" max="10"/>
    <col width="14" customWidth="1" style="15" min="11" max="11"/>
  </cols>
  <sheetData>
    <row r="1" ht="15" customHeight="1" s="16">
      <c r="A1" s="27" t="inlineStr">
        <is>
          <t>Field ID</t>
        </is>
      </c>
      <c r="B1" s="27" t="inlineStr">
        <is>
          <t>Region</t>
        </is>
      </c>
      <c r="C1" s="27" t="inlineStr">
        <is>
          <t>Crop</t>
        </is>
      </c>
      <c r="D1" s="27" t="inlineStr">
        <is>
          <t>Irrigation Type</t>
        </is>
      </c>
      <c r="E1" s="27" t="inlineStr">
        <is>
          <t>Area (ha)</t>
        </is>
      </c>
      <c r="F1" s="27" t="inlineStr">
        <is>
          <t>Seed Cost ($)</t>
        </is>
      </c>
      <c r="G1" s="27" t="inlineStr">
        <is>
          <t>Fertilizer Cost ($)</t>
        </is>
      </c>
      <c r="H1" s="27" t="inlineStr">
        <is>
          <t>Harvest Volume (tons)</t>
        </is>
      </c>
      <c r="I1" s="27" t="inlineStr">
        <is>
          <t>Production Cost ($)</t>
        </is>
      </c>
      <c r="J1" s="27" t="inlineStr">
        <is>
          <t>Revenue ($)</t>
        </is>
      </c>
      <c r="K1" s="27" t="inlineStr">
        <is>
          <t>Yield (tons/ha)</t>
        </is>
      </c>
    </row>
    <row r="2" ht="15" customHeight="1" s="16">
      <c r="A2" s="20" t="inlineStr">
        <is>
          <t>F100</t>
        </is>
      </c>
      <c r="B2" s="20" t="inlineStr">
        <is>
          <t>Southern Delta</t>
        </is>
      </c>
      <c r="C2" s="20" t="inlineStr">
        <is>
          <t>Sorghum</t>
        </is>
      </c>
      <c r="D2" s="20" t="inlineStr">
        <is>
          <t>Rain-fed</t>
        </is>
      </c>
      <c r="E2" s="20" t="n">
        <v>73.59999999999999</v>
      </c>
      <c r="F2" s="28" t="n">
        <v>9660</v>
      </c>
      <c r="G2" s="28" t="n">
        <v>13420</v>
      </c>
      <c r="H2" s="20" t="n">
        <v>174.4</v>
      </c>
      <c r="I2" s="28" t="n">
        <v>32010</v>
      </c>
      <c r="J2" s="28" t="n">
        <v>33010</v>
      </c>
      <c r="K2" s="29">
        <f>H2/E2</f>
        <v/>
      </c>
    </row>
    <row r="3" ht="15" customHeight="1" s="16">
      <c r="A3" s="20" t="inlineStr">
        <is>
          <t>F101</t>
        </is>
      </c>
      <c r="B3" s="20" t="inlineStr">
        <is>
          <t>River Valley</t>
        </is>
      </c>
      <c r="C3" s="20" t="inlineStr">
        <is>
          <t>Maize</t>
        </is>
      </c>
      <c r="D3" s="20" t="inlineStr">
        <is>
          <t>Irrigated</t>
        </is>
      </c>
      <c r="E3" s="20" t="n">
        <v>25.6</v>
      </c>
      <c r="F3" s="28" t="n">
        <v>3420</v>
      </c>
      <c r="G3" s="28" t="n">
        <v>6600</v>
      </c>
      <c r="H3" s="20" t="n">
        <v>164.1</v>
      </c>
      <c r="I3" s="28" t="n">
        <v>16960</v>
      </c>
      <c r="J3" s="28" t="n">
        <v>33890</v>
      </c>
      <c r="K3" s="29">
        <f>H3/E3</f>
        <v/>
      </c>
    </row>
    <row r="4" ht="15" customHeight="1" s="16">
      <c r="A4" s="20" t="inlineStr">
        <is>
          <t>F102</t>
        </is>
      </c>
      <c r="B4" s="20" t="inlineStr">
        <is>
          <t>Southern Delta</t>
        </is>
      </c>
      <c r="C4" s="20" t="inlineStr">
        <is>
          <t>Sorghum</t>
        </is>
      </c>
      <c r="D4" s="20" t="inlineStr">
        <is>
          <t>Rain-fed</t>
        </is>
      </c>
      <c r="E4" s="20" t="n">
        <v>61.7</v>
      </c>
      <c r="F4" s="28" t="n">
        <v>5170</v>
      </c>
      <c r="G4" s="28" t="n">
        <v>9630</v>
      </c>
      <c r="H4" s="20" t="n">
        <v>172.1</v>
      </c>
      <c r="I4" s="28" t="n">
        <v>27220</v>
      </c>
      <c r="J4" s="28" t="n">
        <v>33220</v>
      </c>
      <c r="K4" s="29">
        <f>H4/E4</f>
        <v/>
      </c>
    </row>
    <row r="5" ht="15" customHeight="1" s="16">
      <c r="A5" s="20" t="inlineStr">
        <is>
          <t>F103</t>
        </is>
      </c>
      <c r="B5" s="20" t="inlineStr">
        <is>
          <t>Southern Delta</t>
        </is>
      </c>
      <c r="C5" s="20" t="inlineStr">
        <is>
          <t>Wheat</t>
        </is>
      </c>
      <c r="D5" s="20" t="inlineStr">
        <is>
          <t>Irrigated</t>
        </is>
      </c>
      <c r="E5" s="20" t="n">
        <v>78.2</v>
      </c>
      <c r="F5" s="28" t="n">
        <v>9260</v>
      </c>
      <c r="G5" s="28" t="n">
        <v>18370</v>
      </c>
      <c r="H5" s="20" t="n">
        <v>308.1</v>
      </c>
      <c r="I5" s="28" t="n">
        <v>38760</v>
      </c>
      <c r="J5" s="28" t="n">
        <v>79560</v>
      </c>
      <c r="K5" s="29">
        <f>H5/E5</f>
        <v/>
      </c>
    </row>
    <row r="6" ht="15" customHeight="1" s="16">
      <c r="A6" s="20" t="inlineStr">
        <is>
          <t>F104</t>
        </is>
      </c>
      <c r="B6" s="20" t="inlineStr">
        <is>
          <t>Eastern Highlands</t>
        </is>
      </c>
      <c r="C6" s="20" t="inlineStr">
        <is>
          <t>Rice</t>
        </is>
      </c>
      <c r="D6" s="20" t="inlineStr">
        <is>
          <t>Rain-fed</t>
        </is>
      </c>
      <c r="E6" s="20" t="n">
        <v>89.7</v>
      </c>
      <c r="F6" s="28" t="n">
        <v>10990</v>
      </c>
      <c r="G6" s="28" t="n">
        <v>18260</v>
      </c>
      <c r="H6" s="20" t="n">
        <v>509.5</v>
      </c>
      <c r="I6" s="28" t="n">
        <v>61090</v>
      </c>
      <c r="J6" s="28" t="n">
        <v>157540</v>
      </c>
      <c r="K6" s="29">
        <f>H6/E6</f>
        <v/>
      </c>
    </row>
    <row r="7" ht="15" customHeight="1" s="16">
      <c r="A7" s="20" t="inlineStr">
        <is>
          <t>F105</t>
        </is>
      </c>
      <c r="B7" s="20" t="inlineStr">
        <is>
          <t>Northern Plains</t>
        </is>
      </c>
      <c r="C7" s="20" t="inlineStr">
        <is>
          <t>Sorghum</t>
        </is>
      </c>
      <c r="D7" s="20" t="inlineStr">
        <is>
          <t>Rain-fed</t>
        </is>
      </c>
      <c r="E7" s="20" t="n">
        <v>45</v>
      </c>
      <c r="F7" s="28" t="n">
        <v>4640</v>
      </c>
      <c r="G7" s="28" t="n">
        <v>14080</v>
      </c>
      <c r="H7" s="20" t="n">
        <v>126.5</v>
      </c>
      <c r="I7" s="28" t="n">
        <v>19730</v>
      </c>
      <c r="J7" s="28" t="n">
        <v>22110</v>
      </c>
      <c r="K7" s="29">
        <f>H7/E7</f>
        <v/>
      </c>
    </row>
    <row r="8" ht="15" customHeight="1" s="16">
      <c r="A8" s="20" t="inlineStr">
        <is>
          <t>F106</t>
        </is>
      </c>
      <c r="B8" s="20" t="inlineStr">
        <is>
          <t>River Valley</t>
        </is>
      </c>
      <c r="C8" s="20" t="inlineStr">
        <is>
          <t>Maize</t>
        </is>
      </c>
      <c r="D8" s="20" t="inlineStr">
        <is>
          <t>Irrigated</t>
        </is>
      </c>
      <c r="E8" s="20" t="n">
        <v>88.5</v>
      </c>
      <c r="F8" s="28" t="n">
        <v>7470</v>
      </c>
      <c r="G8" s="28" t="n">
        <v>22750</v>
      </c>
      <c r="H8" s="20" t="n">
        <v>539</v>
      </c>
      <c r="I8" s="28" t="n">
        <v>60730</v>
      </c>
      <c r="J8" s="28" t="n">
        <v>109020</v>
      </c>
      <c r="K8" s="29">
        <f>H8/E8</f>
        <v/>
      </c>
    </row>
    <row r="9" ht="15" customHeight="1" s="16">
      <c r="A9" s="20" t="inlineStr">
        <is>
          <t>F107</t>
        </is>
      </c>
      <c r="B9" s="20" t="inlineStr">
        <is>
          <t>Northern Plains</t>
        </is>
      </c>
      <c r="C9" s="20" t="inlineStr">
        <is>
          <t>Wheat</t>
        </is>
      </c>
      <c r="D9" s="20" t="inlineStr">
        <is>
          <t>Irrigated</t>
        </is>
      </c>
      <c r="E9" s="20" t="n">
        <v>87.3</v>
      </c>
      <c r="F9" s="28" t="n">
        <v>7600</v>
      </c>
      <c r="G9" s="28" t="n">
        <v>16750</v>
      </c>
      <c r="H9" s="20" t="n">
        <v>372.8</v>
      </c>
      <c r="I9" s="28" t="n">
        <v>38560</v>
      </c>
      <c r="J9" s="28" t="n">
        <v>90100</v>
      </c>
      <c r="K9" s="29">
        <f>H9/E9</f>
        <v/>
      </c>
    </row>
    <row r="10" ht="15" customHeight="1" s="16">
      <c r="A10" s="20" t="inlineStr">
        <is>
          <t>F108</t>
        </is>
      </c>
      <c r="B10" s="20" t="inlineStr">
        <is>
          <t>Southern Delta</t>
        </is>
      </c>
      <c r="C10" s="20" t="inlineStr">
        <is>
          <t>Soybean</t>
        </is>
      </c>
      <c r="D10" s="20" t="inlineStr">
        <is>
          <t>Rain-fed</t>
        </is>
      </c>
      <c r="E10" s="20" t="n">
        <v>29.1</v>
      </c>
      <c r="F10" s="28" t="n">
        <v>4050</v>
      </c>
      <c r="G10" s="28" t="n">
        <v>8170</v>
      </c>
      <c r="H10" s="20" t="n">
        <v>78.3</v>
      </c>
      <c r="I10" s="28" t="n">
        <v>14890</v>
      </c>
      <c r="J10" s="28" t="n">
        <v>33040</v>
      </c>
      <c r="K10" s="29">
        <f>H10/E10</f>
        <v/>
      </c>
    </row>
    <row r="11" ht="15" customHeight="1" s="16">
      <c r="A11" s="20" t="inlineStr">
        <is>
          <t>F109</t>
        </is>
      </c>
      <c r="B11" s="20" t="inlineStr">
        <is>
          <t>Southern Delta</t>
        </is>
      </c>
      <c r="C11" s="20" t="inlineStr">
        <is>
          <t>Rice</t>
        </is>
      </c>
      <c r="D11" s="20" t="inlineStr">
        <is>
          <t>Rain-fed</t>
        </is>
      </c>
      <c r="E11" s="20" t="n">
        <v>15</v>
      </c>
      <c r="F11" s="28" t="n">
        <v>2080</v>
      </c>
      <c r="G11" s="28" t="n">
        <v>3760</v>
      </c>
      <c r="H11" s="20" t="n">
        <v>85.8</v>
      </c>
      <c r="I11" s="28" t="n">
        <v>11880</v>
      </c>
      <c r="J11" s="28" t="n">
        <v>25350</v>
      </c>
      <c r="K11" s="29">
        <f>H11/E11</f>
        <v/>
      </c>
    </row>
    <row r="12" ht="15" customHeight="1" s="16">
      <c r="A12" s="20" t="inlineStr">
        <is>
          <t>F110</t>
        </is>
      </c>
      <c r="B12" s="20" t="inlineStr">
        <is>
          <t>River Valley</t>
        </is>
      </c>
      <c r="C12" s="20" t="inlineStr">
        <is>
          <t>Rice</t>
        </is>
      </c>
      <c r="D12" s="20" t="inlineStr">
        <is>
          <t>Rain-fed</t>
        </is>
      </c>
      <c r="E12" s="20" t="n">
        <v>60.2</v>
      </c>
      <c r="F12" s="28" t="n">
        <v>4970</v>
      </c>
      <c r="G12" s="28" t="n">
        <v>10530</v>
      </c>
      <c r="H12" s="20" t="n">
        <v>314.8</v>
      </c>
      <c r="I12" s="28" t="n">
        <v>42840</v>
      </c>
      <c r="J12" s="28" t="n">
        <v>92830</v>
      </c>
      <c r="K12" s="29">
        <f>H12/E12</f>
        <v/>
      </c>
    </row>
    <row r="13" ht="15" customHeight="1" s="16">
      <c r="A13" s="20" t="inlineStr">
        <is>
          <t>F111</t>
        </is>
      </c>
      <c r="B13" s="20" t="inlineStr">
        <is>
          <t>Eastern Highlands</t>
        </is>
      </c>
      <c r="C13" s="20" t="inlineStr">
        <is>
          <t>Wheat</t>
        </is>
      </c>
      <c r="D13" s="20" t="inlineStr">
        <is>
          <t>Irrigated</t>
        </is>
      </c>
      <c r="E13" s="20" t="n">
        <v>20.6</v>
      </c>
      <c r="F13" s="28" t="n">
        <v>2430</v>
      </c>
      <c r="G13" s="28" t="n">
        <v>3140</v>
      </c>
      <c r="H13" s="20" t="n">
        <v>72.3</v>
      </c>
      <c r="I13" s="28" t="n">
        <v>9630</v>
      </c>
      <c r="J13" s="28" t="n">
        <v>19170</v>
      </c>
      <c r="K13" s="29">
        <f>H13/E13</f>
        <v/>
      </c>
    </row>
    <row r="14" ht="15" customHeight="1" s="16">
      <c r="A14" s="20" t="inlineStr">
        <is>
          <t>F112</t>
        </is>
      </c>
      <c r="B14" s="20" t="inlineStr">
        <is>
          <t>River Valley</t>
        </is>
      </c>
      <c r="C14" s="20" t="inlineStr">
        <is>
          <t>Sorghum</t>
        </is>
      </c>
      <c r="D14" s="20" t="inlineStr">
        <is>
          <t>Irrigated</t>
        </is>
      </c>
      <c r="E14" s="20" t="n">
        <v>58.1</v>
      </c>
      <c r="F14" s="28" t="n">
        <v>5290</v>
      </c>
      <c r="G14" s="28" t="n">
        <v>10240</v>
      </c>
      <c r="H14" s="20" t="n">
        <v>222.5</v>
      </c>
      <c r="I14" s="28" t="n">
        <v>25770</v>
      </c>
      <c r="J14" s="28" t="n">
        <v>44420</v>
      </c>
      <c r="K14" s="29">
        <f>H14/E14</f>
        <v/>
      </c>
    </row>
    <row r="15" ht="15" customHeight="1" s="16">
      <c r="A15" s="20" t="inlineStr">
        <is>
          <t>F113</t>
        </is>
      </c>
      <c r="B15" s="20" t="inlineStr">
        <is>
          <t>River Valley</t>
        </is>
      </c>
      <c r="C15" s="20" t="inlineStr">
        <is>
          <t>Soybean</t>
        </is>
      </c>
      <c r="D15" s="20" t="inlineStr">
        <is>
          <t>Irrigated</t>
        </is>
      </c>
      <c r="E15" s="20" t="n">
        <v>62.2</v>
      </c>
      <c r="F15" s="28" t="n">
        <v>7540</v>
      </c>
      <c r="G15" s="28" t="n">
        <v>13430</v>
      </c>
      <c r="H15" s="20" t="n">
        <v>230.1</v>
      </c>
      <c r="I15" s="28" t="n">
        <v>32230</v>
      </c>
      <c r="J15" s="28" t="n">
        <v>92270</v>
      </c>
      <c r="K15" s="29">
        <f>H15/E15</f>
        <v/>
      </c>
    </row>
    <row r="16" ht="15" customHeight="1" s="16">
      <c r="A16" s="20" t="inlineStr">
        <is>
          <t>F114</t>
        </is>
      </c>
      <c r="B16" s="20" t="inlineStr">
        <is>
          <t>Northern Plains</t>
        </is>
      </c>
      <c r="C16" s="20" t="inlineStr">
        <is>
          <t>Maize</t>
        </is>
      </c>
      <c r="D16" s="20" t="inlineStr">
        <is>
          <t>Irrigated</t>
        </is>
      </c>
      <c r="E16" s="20" t="n">
        <v>53.4</v>
      </c>
      <c r="F16" s="28" t="n">
        <v>6640</v>
      </c>
      <c r="G16" s="28" t="n">
        <v>11570</v>
      </c>
      <c r="H16" s="20" t="n">
        <v>307.6</v>
      </c>
      <c r="I16" s="28" t="n">
        <v>34160</v>
      </c>
      <c r="J16" s="28" t="n">
        <v>68780</v>
      </c>
      <c r="K16" s="29">
        <f>H16/E16</f>
        <v/>
      </c>
    </row>
    <row r="17" ht="15" customHeight="1" s="16">
      <c r="A17" s="20" t="inlineStr">
        <is>
          <t>F115</t>
        </is>
      </c>
      <c r="B17" s="20" t="inlineStr">
        <is>
          <t>Southern Delta</t>
        </is>
      </c>
      <c r="C17" s="20" t="inlineStr">
        <is>
          <t>Wheat</t>
        </is>
      </c>
      <c r="D17" s="20" t="inlineStr">
        <is>
          <t>Irrigated</t>
        </is>
      </c>
      <c r="E17" s="20" t="n">
        <v>84.7</v>
      </c>
      <c r="F17" s="28" t="n">
        <v>7420</v>
      </c>
      <c r="G17" s="28" t="n">
        <v>19610</v>
      </c>
      <c r="H17" s="20" t="n">
        <v>387.1</v>
      </c>
      <c r="I17" s="28" t="n">
        <v>41900</v>
      </c>
      <c r="J17" s="28" t="n">
        <v>102510</v>
      </c>
      <c r="K17" s="29">
        <f>H17/E17</f>
        <v/>
      </c>
    </row>
    <row r="18" ht="15" customHeight="1" s="16">
      <c r="A18" s="20" t="inlineStr">
        <is>
          <t>F116</t>
        </is>
      </c>
      <c r="B18" s="20" t="inlineStr">
        <is>
          <t>Northern Plains</t>
        </is>
      </c>
      <c r="C18" s="20" t="inlineStr">
        <is>
          <t>Wheat</t>
        </is>
      </c>
      <c r="D18" s="20" t="inlineStr">
        <is>
          <t>Irrigated</t>
        </is>
      </c>
      <c r="E18" s="20" t="n">
        <v>83.59999999999999</v>
      </c>
      <c r="F18" s="28" t="n">
        <v>7030</v>
      </c>
      <c r="G18" s="28" t="n">
        <v>18390</v>
      </c>
      <c r="H18" s="20" t="n">
        <v>355.3</v>
      </c>
      <c r="I18" s="28" t="n">
        <v>38110</v>
      </c>
      <c r="J18" s="28" t="n">
        <v>85680</v>
      </c>
      <c r="K18" s="29">
        <f>H18/E18</f>
        <v/>
      </c>
    </row>
    <row r="19" ht="15" customHeight="1" s="16">
      <c r="A19" s="20" t="inlineStr">
        <is>
          <t>F117</t>
        </is>
      </c>
      <c r="B19" s="20" t="inlineStr">
        <is>
          <t>Eastern Highlands</t>
        </is>
      </c>
      <c r="C19" s="20" t="inlineStr">
        <is>
          <t>Wheat</t>
        </is>
      </c>
      <c r="D19" s="20" t="inlineStr">
        <is>
          <t>Irrigated</t>
        </is>
      </c>
      <c r="E19" s="20" t="n">
        <v>88</v>
      </c>
      <c r="F19" s="28" t="n">
        <v>7770</v>
      </c>
      <c r="G19" s="28" t="n">
        <v>19940</v>
      </c>
      <c r="H19" s="20" t="n">
        <v>294.8</v>
      </c>
      <c r="I19" s="28" t="n">
        <v>40810</v>
      </c>
      <c r="J19" s="28" t="n">
        <v>79500</v>
      </c>
      <c r="K19" s="29">
        <f>H19/E19</f>
        <v/>
      </c>
    </row>
    <row r="20" ht="15" customHeight="1" s="16">
      <c r="A20" s="20" t="inlineStr">
        <is>
          <t>F118</t>
        </is>
      </c>
      <c r="B20" s="20" t="inlineStr">
        <is>
          <t>River Valley</t>
        </is>
      </c>
      <c r="C20" s="20" t="inlineStr">
        <is>
          <t>Sorghum</t>
        </is>
      </c>
      <c r="D20" s="20" t="inlineStr">
        <is>
          <t>Irrigated</t>
        </is>
      </c>
      <c r="E20" s="20" t="n">
        <v>16.3</v>
      </c>
      <c r="F20" s="28" t="n">
        <v>1990</v>
      </c>
      <c r="G20" s="28" t="n">
        <v>5110</v>
      </c>
      <c r="H20" s="20" t="n">
        <v>63.4</v>
      </c>
      <c r="I20" s="28" t="n">
        <v>6040</v>
      </c>
      <c r="J20" s="28" t="n">
        <v>12310</v>
      </c>
      <c r="K20" s="29">
        <f>H20/E20</f>
        <v/>
      </c>
    </row>
    <row r="21" ht="15" customHeight="1" s="16">
      <c r="A21" s="20" t="inlineStr">
        <is>
          <t>F119</t>
        </is>
      </c>
      <c r="B21" s="20" t="inlineStr">
        <is>
          <t>Southern Delta</t>
        </is>
      </c>
      <c r="C21" s="20" t="inlineStr">
        <is>
          <t>Maize</t>
        </is>
      </c>
      <c r="D21" s="20" t="inlineStr">
        <is>
          <t>Rain-fed</t>
        </is>
      </c>
      <c r="E21" s="20" t="n">
        <v>38.9</v>
      </c>
      <c r="F21" s="28" t="n">
        <v>3290</v>
      </c>
      <c r="G21" s="28" t="n">
        <v>9450</v>
      </c>
      <c r="H21" s="20" t="n">
        <v>214.7</v>
      </c>
      <c r="I21" s="28" t="n">
        <v>26480</v>
      </c>
      <c r="J21" s="28" t="n">
        <v>47970</v>
      </c>
      <c r="K21" s="29">
        <f>H21/E21</f>
        <v/>
      </c>
    </row>
    <row r="22" ht="15" customHeight="1" s="16">
      <c r="A22" s="20" t="inlineStr">
        <is>
          <t>F120</t>
        </is>
      </c>
      <c r="B22" s="20" t="inlineStr">
        <is>
          <t>River Valley</t>
        </is>
      </c>
      <c r="C22" s="20" t="inlineStr">
        <is>
          <t>Wheat</t>
        </is>
      </c>
      <c r="D22" s="20" t="inlineStr">
        <is>
          <t>Irrigated</t>
        </is>
      </c>
      <c r="E22" s="20" t="n">
        <v>66.40000000000001</v>
      </c>
      <c r="F22" s="28" t="n">
        <v>8780</v>
      </c>
      <c r="G22" s="28" t="n">
        <v>14670</v>
      </c>
      <c r="H22" s="20" t="n">
        <v>296.1</v>
      </c>
      <c r="I22" s="28" t="n">
        <v>33720</v>
      </c>
      <c r="J22" s="28" t="n">
        <v>81460</v>
      </c>
      <c r="K22" s="29">
        <f>H22/E22</f>
        <v/>
      </c>
    </row>
    <row r="23" ht="15" customHeight="1" s="16">
      <c r="A23" s="20" t="inlineStr">
        <is>
          <t>F121</t>
        </is>
      </c>
      <c r="B23" s="20" t="inlineStr">
        <is>
          <t>Northern Plains</t>
        </is>
      </c>
      <c r="C23" s="20" t="inlineStr">
        <is>
          <t>Sorghum</t>
        </is>
      </c>
      <c r="D23" s="20" t="inlineStr">
        <is>
          <t>Rain-fed</t>
        </is>
      </c>
      <c r="E23" s="20" t="n">
        <v>43.4</v>
      </c>
      <c r="F23" s="28" t="n">
        <v>3660</v>
      </c>
      <c r="G23" s="28" t="n">
        <v>7180</v>
      </c>
      <c r="H23" s="20" t="n">
        <v>81.59999999999999</v>
      </c>
      <c r="I23" s="28" t="n">
        <v>16430</v>
      </c>
      <c r="J23" s="28" t="n">
        <v>14900</v>
      </c>
      <c r="K23" s="29">
        <f>H23/E23</f>
        <v/>
      </c>
    </row>
    <row r="24" ht="15" customHeight="1" s="16">
      <c r="A24" s="20" t="inlineStr">
        <is>
          <t>F122</t>
        </is>
      </c>
      <c r="B24" s="20" t="inlineStr">
        <is>
          <t>Southern Delta</t>
        </is>
      </c>
      <c r="C24" s="20" t="inlineStr">
        <is>
          <t>Wheat</t>
        </is>
      </c>
      <c r="D24" s="20" t="inlineStr">
        <is>
          <t>Irrigated</t>
        </is>
      </c>
      <c r="E24" s="20" t="n">
        <v>70.09999999999999</v>
      </c>
      <c r="F24" s="28" t="n">
        <v>7460</v>
      </c>
      <c r="G24" s="28" t="n">
        <v>20510</v>
      </c>
      <c r="H24" s="20" t="n">
        <v>281.8</v>
      </c>
      <c r="I24" s="28" t="n">
        <v>30850</v>
      </c>
      <c r="J24" s="28" t="n">
        <v>76200</v>
      </c>
      <c r="K24" s="29">
        <f>H24/E24</f>
        <v/>
      </c>
    </row>
    <row r="25" ht="15" customHeight="1" s="16">
      <c r="A25" s="20" t="inlineStr">
        <is>
          <t>F123</t>
        </is>
      </c>
      <c r="B25" s="20" t="inlineStr">
        <is>
          <t>Northern Plains</t>
        </is>
      </c>
      <c r="C25" s="20" t="inlineStr">
        <is>
          <t>Wheat</t>
        </is>
      </c>
      <c r="D25" s="20" t="inlineStr">
        <is>
          <t>Rain-fed</t>
        </is>
      </c>
      <c r="E25" s="20" t="n">
        <v>51.1</v>
      </c>
      <c r="F25" s="28" t="n">
        <v>6230</v>
      </c>
      <c r="G25" s="28" t="n">
        <v>11980</v>
      </c>
      <c r="H25" s="20" t="n">
        <v>133.4</v>
      </c>
      <c r="I25" s="28" t="n">
        <v>25090</v>
      </c>
      <c r="J25" s="28" t="n">
        <v>37020</v>
      </c>
      <c r="K25" s="29">
        <f>H25/E25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16" customWidth="1" style="15" min="2" max="2"/>
    <col width="18" customWidth="1" style="15" min="3" max="4"/>
    <col width="16" customWidth="1" style="15" min="5" max="5"/>
    <col width="14" customWidth="1" style="15" min="6" max="7"/>
  </cols>
  <sheetData>
    <row r="1" ht="15" customHeight="1" s="16">
      <c r="A1" s="27" t="inlineStr">
        <is>
          <t>Crop</t>
        </is>
      </c>
      <c r="B1" s="27" t="inlineStr">
        <is>
          <t>Total Area (ha)</t>
        </is>
      </c>
      <c r="C1" s="27" t="inlineStr">
        <is>
          <t>Total Harvest (tons)</t>
        </is>
      </c>
      <c r="D1" s="27" t="inlineStr">
        <is>
          <t>Avg Yield (tons/ha)</t>
        </is>
      </c>
      <c r="E1" s="27" t="inlineStr">
        <is>
          <t>Total Revenue ($)</t>
        </is>
      </c>
      <c r="F1" s="27" t="inlineStr">
        <is>
          <t>Total Cost ($)</t>
        </is>
      </c>
      <c r="G1" s="27" t="inlineStr">
        <is>
          <t>Gross Margin %</t>
        </is>
      </c>
    </row>
    <row r="2" ht="15" customHeight="1" s="16">
      <c r="A2" s="20" t="inlineStr">
        <is>
          <t>Maize</t>
        </is>
      </c>
      <c r="B2" s="20">
        <f>SUMIF('Field Data'!C:C,A2,'Field Data'!E:E)</f>
        <v/>
      </c>
      <c r="C2" s="20">
        <f>SUMIF('Field Data'!C:C,A2,'Field Data'!H:H)</f>
        <v/>
      </c>
      <c r="D2" s="29">
        <f>C2/B2</f>
        <v/>
      </c>
      <c r="E2" s="28">
        <f>SUMIF('Field Data'!C:C,A2,'Field Data'!J:J)</f>
        <v/>
      </c>
      <c r="F2" s="28">
        <f>SUMIF('Field Data'!C:C,A2,'Field Data'!I:I)</f>
        <v/>
      </c>
      <c r="G2" s="30">
        <f>(E2-F2)/E2</f>
        <v/>
      </c>
    </row>
    <row r="3" ht="15" customHeight="1" s="16">
      <c r="A3" s="20" t="inlineStr">
        <is>
          <t>Soybean</t>
        </is>
      </c>
      <c r="B3" s="20">
        <f>SUMIF('Field Data'!C:C,A3,'Field Data'!E:E)</f>
        <v/>
      </c>
      <c r="C3" s="20">
        <f>SUMIF('Field Data'!C:C,A3,'Field Data'!H:H)</f>
        <v/>
      </c>
      <c r="D3" s="29">
        <f>C3/B3</f>
        <v/>
      </c>
      <c r="E3" s="28">
        <f>SUMIF('Field Data'!C:C,A3,'Field Data'!J:J)</f>
        <v/>
      </c>
      <c r="F3" s="28">
        <f>SUMIF('Field Data'!C:C,A3,'Field Data'!I:I)</f>
        <v/>
      </c>
      <c r="G3" s="30">
        <f>(E3-F3)/E3</f>
        <v/>
      </c>
    </row>
    <row r="4" ht="15" customHeight="1" s="16">
      <c r="A4" s="20" t="inlineStr">
        <is>
          <t>Wheat</t>
        </is>
      </c>
      <c r="B4" s="20">
        <f>SUMIF('Field Data'!C:C,A4,'Field Data'!E:E)</f>
        <v/>
      </c>
      <c r="C4" s="20">
        <f>SUMIF('Field Data'!C:C,A4,'Field Data'!H:H)</f>
        <v/>
      </c>
      <c r="D4" s="29">
        <f>C4/B4</f>
        <v/>
      </c>
      <c r="E4" s="28">
        <f>SUMIF('Field Data'!C:C,A4,'Field Data'!J:J)</f>
        <v/>
      </c>
      <c r="F4" s="28">
        <f>SUMIF('Field Data'!C:C,A4,'Field Data'!I:I)</f>
        <v/>
      </c>
      <c r="G4" s="30">
        <f>(E4-F4)/E4</f>
        <v/>
      </c>
    </row>
    <row r="5" ht="15" customHeight="1" s="16">
      <c r="A5" s="20" t="inlineStr">
        <is>
          <t>Rice</t>
        </is>
      </c>
      <c r="B5" s="20">
        <f>SUMIF('Field Data'!C:C,A5,'Field Data'!E:E)</f>
        <v/>
      </c>
      <c r="C5" s="20">
        <f>SUMIF('Field Data'!C:C,A5,'Field Data'!H:H)</f>
        <v/>
      </c>
      <c r="D5" s="29">
        <f>C5/B5</f>
        <v/>
      </c>
      <c r="E5" s="28">
        <f>SUMIF('Field Data'!C:C,A5,'Field Data'!J:J)</f>
        <v/>
      </c>
      <c r="F5" s="28">
        <f>SUMIF('Field Data'!C:C,A5,'Field Data'!I:I)</f>
        <v/>
      </c>
      <c r="G5" s="30">
        <f>(E5-F5)/E5</f>
        <v/>
      </c>
    </row>
    <row r="6" ht="15" customHeight="1" s="16">
      <c r="A6" s="20" t="inlineStr">
        <is>
          <t>Sorghum</t>
        </is>
      </c>
      <c r="B6" s="20">
        <f>SUMIF('Field Data'!C:C,A6,'Field Data'!E:E)</f>
        <v/>
      </c>
      <c r="C6" s="20">
        <f>SUMIF('Field Data'!C:C,A6,'Field Data'!H:H)</f>
        <v/>
      </c>
      <c r="D6" s="29">
        <f>C6/B6</f>
        <v/>
      </c>
      <c r="E6" s="28">
        <f>SUMIF('Field Data'!C:C,A6,'Field Data'!J:J)</f>
        <v/>
      </c>
      <c r="F6" s="28">
        <f>SUMIF('Field Data'!C:C,A6,'Field Data'!I:I)</f>
        <v/>
      </c>
      <c r="G6" s="30">
        <f>(E6-F6)/E6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5" min="1" max="1"/>
    <col width="16" customWidth="1" style="15" min="2" max="2"/>
    <col width="18" customWidth="1" style="15" min="3" max="4"/>
    <col width="16" customWidth="1" style="15" min="5" max="5"/>
  </cols>
  <sheetData>
    <row r="1" ht="15" customHeight="1" s="16">
      <c r="A1" s="27" t="inlineStr">
        <is>
          <t>Region</t>
        </is>
      </c>
      <c r="B1" s="27" t="inlineStr">
        <is>
          <t>Total Area (ha)</t>
        </is>
      </c>
      <c r="C1" s="27" t="inlineStr">
        <is>
          <t>Total Harvest (tons)</t>
        </is>
      </c>
      <c r="D1" s="27" t="inlineStr">
        <is>
          <t>Avg Yield (tons/ha)</t>
        </is>
      </c>
      <c r="E1" s="27" t="inlineStr">
        <is>
          <t>Total Revenue ($)</t>
        </is>
      </c>
    </row>
    <row r="2" ht="15" customHeight="1" s="16">
      <c r="A2" s="20" t="inlineStr">
        <is>
          <t>Northern Plains</t>
        </is>
      </c>
      <c r="B2" s="20">
        <f>SUMIF('Field Data'!B:B,A2,'Field Data'!E:E)</f>
        <v/>
      </c>
      <c r="C2" s="20">
        <f>SUMIF('Field Data'!B:B,A2,'Field Data'!H:H)</f>
        <v/>
      </c>
      <c r="D2" s="29">
        <f>C2/B2</f>
        <v/>
      </c>
      <c r="E2" s="28">
        <f>SUMIF('Field Data'!B:B,A2,'Field Data'!J:J)</f>
        <v/>
      </c>
    </row>
    <row r="3" ht="15" customHeight="1" s="16">
      <c r="A3" s="20" t="inlineStr">
        <is>
          <t>River Valley</t>
        </is>
      </c>
      <c r="B3" s="20">
        <f>SUMIF('Field Data'!B:B,A3,'Field Data'!E:E)</f>
        <v/>
      </c>
      <c r="C3" s="20">
        <f>SUMIF('Field Data'!B:B,A3,'Field Data'!H:H)</f>
        <v/>
      </c>
      <c r="D3" s="29">
        <f>C3/B3</f>
        <v/>
      </c>
      <c r="E3" s="28">
        <f>SUMIF('Field Data'!B:B,A3,'Field Data'!J:J)</f>
        <v/>
      </c>
    </row>
    <row r="4" ht="15" customHeight="1" s="16">
      <c r="A4" s="20" t="inlineStr">
        <is>
          <t>Eastern Highlands</t>
        </is>
      </c>
      <c r="B4" s="20">
        <f>SUMIF('Field Data'!B:B,A4,'Field Data'!E:E)</f>
        <v/>
      </c>
      <c r="C4" s="20">
        <f>SUMIF('Field Data'!B:B,A4,'Field Data'!H:H)</f>
        <v/>
      </c>
      <c r="D4" s="29">
        <f>C4/B4</f>
        <v/>
      </c>
      <c r="E4" s="28">
        <f>SUMIF('Field Data'!B:B,A4,'Field Data'!J:J)</f>
        <v/>
      </c>
    </row>
    <row r="5" ht="15" customHeight="1" s="16">
      <c r="A5" s="20" t="inlineStr">
        <is>
          <t>Southern Delta</t>
        </is>
      </c>
      <c r="B5" s="20">
        <f>SUMIF('Field Data'!B:B,A5,'Field Data'!E:E)</f>
        <v/>
      </c>
      <c r="C5" s="20">
        <f>SUMIF('Field Data'!B:B,A5,'Field Data'!H:H)</f>
        <v/>
      </c>
      <c r="D5" s="29">
        <f>C5/B5</f>
        <v/>
      </c>
      <c r="E5" s="28">
        <f>SUMIF('Field Data'!B:B,A5,'Field Data'!J:J)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2026-06-30T03:35:00Z</dcterms:created>
  <dcterms:modified xmlns:dcterms="http://purl.org/dc/terms/" xmlns:xsi="http://www.w3.org/2001/XMLSchema-instance" xsi:type="dcterms:W3CDTF">2026-06-30T03:44:52Z</dcterms:modified>
  <cp:revision>1</cp:revision>
</cp:coreProperties>
</file>