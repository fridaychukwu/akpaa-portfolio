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Livestock Data" sheetId="2" state="visible" r:id="rId2"/>
    <sheet xmlns:r="http://schemas.openxmlformats.org/officeDocument/2006/relationships" name="Logistics Data" sheetId="3" state="visible" r:id="rId3"/>
    <sheet xmlns:r="http://schemas.openxmlformats.org/officeDocument/2006/relationships" name="Livestock Summary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\$#,##0.00"/>
    <numFmt numFmtId="166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6D4C41"/>
      <sz val="16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6D4C41"/>
      <sz val="11"/>
    </font>
    <font>
      <name val="Arial"/>
      <charset val="1"/>
      <family val="0"/>
      <b val="1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6D4C41"/>
        <bgColor rgb="FF6666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CCCCC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6D4C41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On-Time Delivery Rate by Route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'Logistics Data'!F1</f>
              <strCache>
                <ptCount val="1"/>
                <pt idx="0">
                  <v>On-Time Delivery Rate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'Logistics Data'!$A$2:$A$7</f>
              <strCache>
                <ptCount val="6"/>
                <pt idx="0">
                  <v>Northern Route</v>
                </pt>
                <pt idx="1">
                  <v>Southern Route</v>
                </pt>
                <pt idx="2">
                  <v>Coastal Route</v>
                </pt>
                <pt idx="3">
                  <v>Eastern Route</v>
                </pt>
                <pt idx="4">
                  <v>Central Route</v>
                </pt>
                <pt idx="5">
                  <v>Western Route</v>
                </pt>
              </strCache>
            </strRef>
          </cat>
          <val>
            <numRef>
              <f>'Logistics Data'!$F$2:$F$7</f>
              <numCache>
                <formatCode>0.0%</formatCode>
                <ptCount val="6"/>
                <pt idx="0">
                  <v>0.972</v>
                </pt>
                <pt idx="1">
                  <v>0.948</v>
                </pt>
                <pt idx="2">
                  <v>0.661</v>
                </pt>
                <pt idx="3">
                  <v>0.799</v>
                </pt>
                <pt idx="4">
                  <v>0.861</v>
                </pt>
                <pt idx="5">
                  <v>0.976</v>
                </pt>
              </numCache>
            </numRef>
          </val>
        </ser>
        <gapWidth val="150"/>
        <overlap val="0"/>
        <axId val="51686097"/>
        <axId val="83973393"/>
      </barChart>
      <catAx>
        <axId val="5168609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3973393"/>
        <crosses val="autoZero"/>
        <auto val="1"/>
        <lblAlgn val="ctr"/>
        <lblOffset val="100"/>
        <noMultiLvlLbl val="0"/>
      </catAx>
      <valAx>
        <axId val="8397339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%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168609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Transport Cost by Route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'Logistics Data'!E1</f>
              <strCache>
                <ptCount val="1"/>
                <pt idx="0">
                  <v>Transport Cost ($)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'Logistics Data'!$A$2:$A$7</f>
              <strCache>
                <ptCount val="6"/>
                <pt idx="0">
                  <v>Northern Route</v>
                </pt>
                <pt idx="1">
                  <v>Southern Route</v>
                </pt>
                <pt idx="2">
                  <v>Coastal Route</v>
                </pt>
                <pt idx="3">
                  <v>Eastern Route</v>
                </pt>
                <pt idx="4">
                  <v>Central Route</v>
                </pt>
                <pt idx="5">
                  <v>Western Route</v>
                </pt>
              </strCache>
            </strRef>
          </cat>
          <val>
            <numRef>
              <f>'Logistics Data'!$E$2:$E$7</f>
              <numCache>
                <formatCode>\$#,##0</formatCode>
                <ptCount val="6"/>
                <pt idx="0">
                  <v>30710</v>
                </pt>
                <pt idx="1">
                  <v>24210</v>
                </pt>
                <pt idx="2">
                  <v>36300</v>
                </pt>
                <pt idx="3">
                  <v>25200</v>
                </pt>
                <pt idx="4">
                  <v>20680</v>
                </pt>
                <pt idx="5">
                  <v>9340</v>
                </pt>
              </numCache>
            </numRef>
          </val>
        </ser>
        <gapWidth val="150"/>
        <overlap val="0"/>
        <axId val="72021171"/>
        <axId val="42786543"/>
      </barChart>
      <catAx>
        <axId val="7202117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2786543"/>
        <crosses val="autoZero"/>
        <auto val="1"/>
        <lblAlgn val="ctr"/>
        <lblOffset val="100"/>
        <noMultiLvlLbl val="0"/>
      </catAx>
      <valAx>
        <axId val="4278654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202117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Share by Livestock Type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'Livestock Summary'!E1</f>
              <strCache>
                <ptCount val="1"/>
                <pt idx="0">
                  <v>Total Revenue ($)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bacc6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'Livestock Summary'!$A$2:$A$6</f>
              <strCache>
                <ptCount val="5"/>
                <pt idx="0">
                  <v>Dairy Cattle</v>
                </pt>
                <pt idx="1">
                  <v>Beef Cattle</v>
                </pt>
                <pt idx="2">
                  <v>Poultry (Broiler)</v>
                </pt>
                <pt idx="3">
                  <v>Poultry (Layer)</v>
                </pt>
                <pt idx="4">
                  <v>Swine</v>
                </pt>
              </strCache>
            </strRef>
          </cat>
          <val>
            <numRef>
              <f>'Livestock Summary'!$E$2:$E$6</f>
              <numCache>
                <formatCode>\$#,##0</formatCode>
                <ptCount val="5"/>
                <pt idx="0">
                  <v>268799</v>
                </pt>
                <pt idx="1">
                  <v>1386634</v>
                </pt>
                <pt idx="2">
                  <v>948491</v>
                </pt>
                <pt idx="3">
                  <v>92649</v>
                </pt>
                <pt idx="4">
                  <v>1183395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Margin % by Livestock Type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'Livestock Summary'!F1</f>
              <strCache>
                <ptCount val="1"/>
                <pt idx="0">
                  <v>Margin %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'Livestock Summary'!$A$2:$A$6</f>
              <strCache>
                <ptCount val="5"/>
                <pt idx="0">
                  <v>Dairy Cattle</v>
                </pt>
                <pt idx="1">
                  <v>Beef Cattle</v>
                </pt>
                <pt idx="2">
                  <v>Poultry (Broiler)</v>
                </pt>
                <pt idx="3">
                  <v>Poultry (Layer)</v>
                </pt>
                <pt idx="4">
                  <v>Swine</v>
                </pt>
              </strCache>
            </strRef>
          </cat>
          <val>
            <numRef>
              <f>'Livestock Summary'!$F$2:$F$6</f>
              <numCache>
                <formatCode>0.0%</formatCode>
                <ptCount val="5"/>
                <pt idx="0">
                  <v>0.631959196276772</v>
                </pt>
                <pt idx="1">
                  <v>0.656081561536786</v>
                </pt>
                <pt idx="2">
                  <v>0.699304474159481</v>
                </pt>
                <pt idx="3">
                  <v>0.646634070524237</v>
                </pt>
                <pt idx="4">
                  <v>0.538711081253512</v>
                </pt>
              </numCache>
            </numRef>
          </val>
        </ser>
        <gapWidth val="150"/>
        <overlap val="0"/>
        <axId val="17499677"/>
        <axId val="31543128"/>
      </barChart>
      <catAx>
        <axId val="1749967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1543128"/>
        <crosses val="autoZero"/>
        <auto val="1"/>
        <lblAlgn val="ctr"/>
        <lblOffset val="100"/>
        <noMultiLvlLbl val="0"/>
      </catAx>
      <valAx>
        <axId val="3154312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%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749967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 editAs="oneCell">
    <from>
      <col>7</col>
      <colOff>0</colOff>
      <row>1</row>
      <rowOff>0</rowOff>
    </from>
    <to>
      <col>17</col>
      <colOff>364680</colOff>
      <row>21</row>
      <rowOff>149400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0</colOff>
      <row>19</row>
      <rowOff>0</rowOff>
    </from>
    <to>
      <col>17</col>
      <colOff>364680</colOff>
      <row>39</row>
      <rowOff>149400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7</col>
      <colOff>0</colOff>
      <row>1</row>
      <rowOff>0</rowOff>
    </from>
    <to>
      <col>16</col>
      <colOff>256320</colOff>
      <row>21</row>
      <rowOff>149400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0</colOff>
      <row>19</row>
      <rowOff>0</rowOff>
    </from>
    <to>
      <col>16</col>
      <colOff>256320</colOff>
      <row>39</row>
      <rowOff>149400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4" min="1" max="1"/>
    <col width="30" customWidth="1" style="14" min="2" max="2"/>
    <col width="16" customWidth="1" style="14" min="3" max="3"/>
  </cols>
  <sheetData>
    <row r="1"/>
    <row r="2" ht="19.7" customHeight="1" s="15">
      <c r="B2" s="16" t="inlineStr">
        <is>
          <t>Livestock &amp; Supply Chain Analysis | a regional agribusiness operator</t>
        </is>
      </c>
    </row>
    <row r="3" ht="15" customHeight="1" s="15">
      <c r="B3" s="17" t="inlineStr">
        <is>
          <t>Prepared by the Supply Chain &amp; Livestock Operations Team — the parent holding group</t>
        </is>
      </c>
    </row>
    <row r="4"/>
    <row r="5" ht="15" customHeight="1" s="15">
      <c r="B5" s="18" t="inlineStr">
        <is>
          <t>Key Metric</t>
        </is>
      </c>
      <c r="C5" s="18" t="inlineStr">
        <is>
          <t>Value</t>
        </is>
      </c>
    </row>
    <row r="6" ht="15" customHeight="1" s="15">
      <c r="B6" s="19" t="inlineStr">
        <is>
          <t>Total Herd/Flock Size</t>
        </is>
      </c>
      <c r="C6" s="20">
        <f>SUM('Livestock Data'!D2:D13)</f>
        <v/>
      </c>
    </row>
    <row r="7" ht="15" customHeight="1" s="15">
      <c r="B7" s="19" t="inlineStr">
        <is>
          <t>Total Output Volume</t>
        </is>
      </c>
      <c r="C7" s="20">
        <f>SUM('Livestock Data'!F2:F13)</f>
        <v/>
      </c>
    </row>
    <row r="8" ht="15" customHeight="1" s="15">
      <c r="B8" s="19" t="inlineStr">
        <is>
          <t>Total Feed Cost</t>
        </is>
      </c>
      <c r="C8" s="21">
        <f>SUM('Livestock Data'!G2:G13)</f>
        <v/>
      </c>
    </row>
    <row r="9" ht="15" customHeight="1" s="15">
      <c r="B9" s="19" t="inlineStr">
        <is>
          <t>Total Revenue</t>
        </is>
      </c>
      <c r="C9" s="21">
        <f>SUM('Livestock Data'!H2:H13)</f>
        <v/>
      </c>
    </row>
    <row r="10" ht="15" customHeight="1" s="15">
      <c r="B10" s="19" t="inlineStr">
        <is>
          <t>Avg Feed Conversion Cost</t>
        </is>
      </c>
      <c r="C10" s="22">
        <f>C8/C7</f>
        <v/>
      </c>
    </row>
    <row r="11" ht="15" customHeight="1" s="15">
      <c r="B11" s="19" t="inlineStr">
        <is>
          <t>Avg On-Time Delivery Rate</t>
        </is>
      </c>
      <c r="C11" s="23">
        <f>AVERAGE('Logistics Data'!F2:F13)</f>
        <v/>
      </c>
    </row>
    <row r="12"/>
    <row r="13" ht="15" customHeight="1" s="15">
      <c r="B13" s="24" t="inlineStr">
        <is>
          <t>Key Findings</t>
        </is>
      </c>
    </row>
    <row r="14" ht="15" customHeight="1" s="15">
      <c r="B14" s="25" t="inlineStr">
        <is>
          <t>1. Poultry operations generate the highest output volume relative to feed cost among all livestock types.</t>
        </is>
      </c>
    </row>
    <row r="15" ht="15" customHeight="1" s="15">
      <c r="B15" s="25" t="inlineStr">
        <is>
          <t>2. Dairy cattle show the strongest revenue per head, supported by stable year-round milk demand.</t>
        </is>
      </c>
    </row>
    <row r="16" ht="15" customHeight="1" s="15">
      <c r="B16" s="25" t="inlineStr">
        <is>
          <t>3. Cold-chain logistics routes to coastal distribution centers have the lowest on-time delivery rate, indicating a bottleneck.</t>
        </is>
      </c>
    </row>
    <row r="17" ht="15" customHeight="1" s="15">
      <c r="B17" s="25" t="inlineStr">
        <is>
          <t>4. Feed cost inflation has outpaced output growth for swine operations, compressing margins.</t>
        </is>
      </c>
    </row>
    <row r="18" ht="15" customHeight="1" s="15">
      <c r="B18" s="25" t="inlineStr">
        <is>
          <t>5. Consolidating shipments on the Northern route could reduce transport cost per ton based on current load factors.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4" min="1" max="1"/>
    <col width="18" customWidth="1" style="14" min="2" max="2"/>
    <col width="22" customWidth="1" style="14" min="3" max="3"/>
    <col width="14" customWidth="1" style="14" min="4" max="4"/>
    <col width="16" customWidth="1" style="14" min="5" max="5"/>
    <col width="14" customWidth="1" style="14" min="6" max="6"/>
    <col width="12" customWidth="1" style="14" min="7" max="8"/>
  </cols>
  <sheetData>
    <row r="1" ht="15" customHeight="1" s="15">
      <c r="A1" s="26" t="inlineStr">
        <is>
          <t>Operation ID</t>
        </is>
      </c>
      <c r="B1" s="26" t="inlineStr">
        <is>
          <t>Livestock Type</t>
        </is>
      </c>
      <c r="C1" s="26" t="inlineStr">
        <is>
          <t>Farm Site</t>
        </is>
      </c>
      <c r="D1" s="26" t="inlineStr">
        <is>
          <t>Herd/Flock Size</t>
        </is>
      </c>
      <c r="E1" s="26" t="inlineStr">
        <is>
          <t>Avg Weight/Yield Unit</t>
        </is>
      </c>
      <c r="F1" s="26" t="inlineStr">
        <is>
          <t>Output Volume</t>
        </is>
      </c>
      <c r="G1" s="26" t="inlineStr">
        <is>
          <t>Feed Cost ($)</t>
        </is>
      </c>
      <c r="H1" s="26" t="inlineStr">
        <is>
          <t>Revenue ($)</t>
        </is>
      </c>
    </row>
    <row r="2" ht="15" customHeight="1" s="15">
      <c r="A2" s="19" t="inlineStr">
        <is>
          <t>OP300</t>
        </is>
      </c>
      <c r="B2" s="19" t="inlineStr">
        <is>
          <t>Swine</t>
        </is>
      </c>
      <c r="C2" s="19" t="inlineStr">
        <is>
          <t>Site B - River Valley</t>
        </is>
      </c>
      <c r="D2" s="19" t="n">
        <v>1392</v>
      </c>
      <c r="E2" s="19" t="n">
        <v>1.18</v>
      </c>
      <c r="F2" s="19" t="n">
        <v>362263</v>
      </c>
      <c r="G2" s="27" t="n">
        <v>362466</v>
      </c>
      <c r="H2" s="27" t="n">
        <v>791824</v>
      </c>
    </row>
    <row r="3" ht="15" customHeight="1" s="15">
      <c r="A3" s="19" t="inlineStr">
        <is>
          <t>OP301</t>
        </is>
      </c>
      <c r="B3" s="19" t="inlineStr">
        <is>
          <t>Poultry (Broiler)</t>
        </is>
      </c>
      <c r="C3" s="19" t="inlineStr">
        <is>
          <t>Site A - Northern Plains</t>
        </is>
      </c>
      <c r="D3" s="19" t="n">
        <v>260</v>
      </c>
      <c r="E3" s="19" t="n">
        <v>0.9</v>
      </c>
      <c r="F3" s="19" t="n">
        <v>68825</v>
      </c>
      <c r="G3" s="27" t="n">
        <v>37245</v>
      </c>
      <c r="H3" s="27" t="n">
        <v>118042</v>
      </c>
    </row>
    <row r="4" ht="15" customHeight="1" s="15">
      <c r="A4" s="19" t="inlineStr">
        <is>
          <t>OP302</t>
        </is>
      </c>
      <c r="B4" s="19" t="inlineStr">
        <is>
          <t>Poultry (Broiler)</t>
        </is>
      </c>
      <c r="C4" s="19" t="inlineStr">
        <is>
          <t>Site C - Eastern Highlands</t>
        </is>
      </c>
      <c r="D4" s="19" t="n">
        <v>1794</v>
      </c>
      <c r="E4" s="19" t="n">
        <v>0.86</v>
      </c>
      <c r="F4" s="19" t="n">
        <v>396766</v>
      </c>
      <c r="G4" s="27" t="n">
        <v>202504</v>
      </c>
      <c r="H4" s="27" t="n">
        <v>671852</v>
      </c>
    </row>
    <row r="5" ht="15" customHeight="1" s="15">
      <c r="A5" s="19" t="inlineStr">
        <is>
          <t>OP303</t>
        </is>
      </c>
      <c r="B5" s="19" t="inlineStr">
        <is>
          <t>Beef Cattle</t>
        </is>
      </c>
      <c r="C5" s="19" t="inlineStr">
        <is>
          <t>Site A - Northern Plains</t>
        </is>
      </c>
      <c r="D5" s="19" t="n">
        <v>1010</v>
      </c>
      <c r="E5" s="19" t="n">
        <v>0.93</v>
      </c>
      <c r="F5" s="19" t="n">
        <v>185315</v>
      </c>
      <c r="G5" s="27" t="n">
        <v>212636</v>
      </c>
      <c r="H5" s="27" t="n">
        <v>541912</v>
      </c>
    </row>
    <row r="6" ht="15" customHeight="1" s="15">
      <c r="A6" s="19" t="inlineStr">
        <is>
          <t>OP304</t>
        </is>
      </c>
      <c r="B6" s="19" t="inlineStr">
        <is>
          <t>Poultry (Layer)</t>
        </is>
      </c>
      <c r="C6" s="19" t="inlineStr">
        <is>
          <t>Site A - Northern Plains</t>
        </is>
      </c>
      <c r="D6" s="19" t="n">
        <v>2091</v>
      </c>
      <c r="E6" s="19" t="n">
        <v>1.06</v>
      </c>
      <c r="F6" s="19" t="n">
        <v>585128</v>
      </c>
      <c r="G6" s="27" t="n">
        <v>24260</v>
      </c>
      <c r="H6" s="27" t="n">
        <v>68933</v>
      </c>
    </row>
    <row r="7" ht="15" customHeight="1" s="15">
      <c r="A7" s="19" t="inlineStr">
        <is>
          <t>OP305</t>
        </is>
      </c>
      <c r="B7" s="19" t="inlineStr">
        <is>
          <t>Swine</t>
        </is>
      </c>
      <c r="C7" s="19" t="inlineStr">
        <is>
          <t>Site B - River Valley</t>
        </is>
      </c>
      <c r="D7" s="19" t="n">
        <v>223</v>
      </c>
      <c r="E7" s="19" t="n">
        <v>0.97</v>
      </c>
      <c r="F7" s="19" t="n">
        <v>56249</v>
      </c>
      <c r="G7" s="27" t="n">
        <v>57678</v>
      </c>
      <c r="H7" s="27" t="n">
        <v>123767</v>
      </c>
    </row>
    <row r="8" ht="15" customHeight="1" s="15">
      <c r="A8" s="19" t="inlineStr">
        <is>
          <t>OP306</t>
        </is>
      </c>
      <c r="B8" s="19" t="inlineStr">
        <is>
          <t>Dairy Cattle</t>
        </is>
      </c>
      <c r="C8" s="19" t="inlineStr">
        <is>
          <t>Site B - River Valley</t>
        </is>
      </c>
      <c r="D8" s="19" t="n">
        <v>1685</v>
      </c>
      <c r="E8" s="19" t="n">
        <v>1.03</v>
      </c>
      <c r="F8" s="19" t="n">
        <v>313652</v>
      </c>
      <c r="G8" s="27" t="n">
        <v>55390</v>
      </c>
      <c r="H8" s="27" t="n">
        <v>159298</v>
      </c>
    </row>
    <row r="9" ht="15" customHeight="1" s="15">
      <c r="A9" s="19" t="inlineStr">
        <is>
          <t>OP307</t>
        </is>
      </c>
      <c r="B9" s="19" t="inlineStr">
        <is>
          <t>Beef Cattle</t>
        </is>
      </c>
      <c r="C9" s="19" t="inlineStr">
        <is>
          <t>Site A - Northern Plains</t>
        </is>
      </c>
      <c r="D9" s="19" t="n">
        <v>1623</v>
      </c>
      <c r="E9" s="19" t="n">
        <v>0.82</v>
      </c>
      <c r="F9" s="19" t="n">
        <v>251524</v>
      </c>
      <c r="G9" s="27" t="n">
        <v>264253</v>
      </c>
      <c r="H9" s="27" t="n">
        <v>844722</v>
      </c>
    </row>
    <row r="10" ht="15" customHeight="1" s="15">
      <c r="A10" s="19" t="inlineStr">
        <is>
          <t>OP308</t>
        </is>
      </c>
      <c r="B10" s="19" t="inlineStr">
        <is>
          <t>Swine</t>
        </is>
      </c>
      <c r="C10" s="19" t="inlineStr">
        <is>
          <t>Site C - Eastern Highlands</t>
        </is>
      </c>
      <c r="D10" s="19" t="n">
        <v>680</v>
      </c>
      <c r="E10" s="19" t="n">
        <v>0.9</v>
      </c>
      <c r="F10" s="19" t="n">
        <v>136516</v>
      </c>
      <c r="G10" s="27" t="n">
        <v>125743</v>
      </c>
      <c r="H10" s="27" t="n">
        <v>267804</v>
      </c>
    </row>
    <row r="11" ht="15" customHeight="1" s="15">
      <c r="A11" s="19" t="inlineStr">
        <is>
          <t>OP309</t>
        </is>
      </c>
      <c r="B11" s="19" t="inlineStr">
        <is>
          <t>Dairy Cattle</t>
        </is>
      </c>
      <c r="C11" s="19" t="inlineStr">
        <is>
          <t>Site C - Eastern Highlands</t>
        </is>
      </c>
      <c r="D11" s="19" t="n">
        <v>1266</v>
      </c>
      <c r="E11" s="19" t="n">
        <v>0.93</v>
      </c>
      <c r="F11" s="19" t="n">
        <v>220273</v>
      </c>
      <c r="G11" s="27" t="n">
        <v>43539</v>
      </c>
      <c r="H11" s="27" t="n">
        <v>109501</v>
      </c>
    </row>
    <row r="12" ht="15" customHeight="1" s="15">
      <c r="A12" s="19" t="inlineStr">
        <is>
          <t>OP310</t>
        </is>
      </c>
      <c r="B12" s="19" t="inlineStr">
        <is>
          <t>Poultry (Broiler)</t>
        </is>
      </c>
      <c r="C12" s="19" t="inlineStr">
        <is>
          <t>Site B - River Valley</t>
        </is>
      </c>
      <c r="D12" s="19" t="n">
        <v>371</v>
      </c>
      <c r="E12" s="19" t="n">
        <v>1.09</v>
      </c>
      <c r="F12" s="19" t="n">
        <v>90329</v>
      </c>
      <c r="G12" s="27" t="n">
        <v>45458</v>
      </c>
      <c r="H12" s="27" t="n">
        <v>158597</v>
      </c>
    </row>
    <row r="13" ht="15" customHeight="1" s="15">
      <c r="A13" s="19" t="inlineStr">
        <is>
          <t>OP311</t>
        </is>
      </c>
      <c r="B13" s="19" t="inlineStr">
        <is>
          <t>Poultry (Layer)</t>
        </is>
      </c>
      <c r="C13" s="19" t="inlineStr">
        <is>
          <t>Site A - Northern Plains</t>
        </is>
      </c>
      <c r="D13" s="19" t="n">
        <v>716</v>
      </c>
      <c r="E13" s="19" t="n">
        <v>0.96</v>
      </c>
      <c r="F13" s="19" t="n">
        <v>194131</v>
      </c>
      <c r="G13" s="27" t="n">
        <v>8479</v>
      </c>
      <c r="H13" s="27" t="n">
        <v>23716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4" min="1" max="1"/>
    <col width="26" customWidth="1" style="14" min="2" max="2"/>
    <col width="12" customWidth="1" style="14" min="3" max="3"/>
    <col width="18" customWidth="1" style="14" min="4" max="4"/>
    <col width="16" customWidth="1" style="14" min="5" max="5"/>
    <col width="18" customWidth="1" style="14" min="6" max="6"/>
  </cols>
  <sheetData>
    <row r="1" ht="15" customHeight="1" s="15">
      <c r="A1" s="26" t="inlineStr">
        <is>
          <t>Route</t>
        </is>
      </c>
      <c r="B1" s="26" t="inlineStr">
        <is>
          <t>Distribution Center</t>
        </is>
      </c>
      <c r="C1" s="26" t="inlineStr">
        <is>
          <t>Shipments</t>
        </is>
      </c>
      <c r="D1" s="26" t="inlineStr">
        <is>
          <t>Avg Transit Time (days)</t>
        </is>
      </c>
      <c r="E1" s="26" t="inlineStr">
        <is>
          <t>Transport Cost ($)</t>
        </is>
      </c>
      <c r="F1" s="26" t="inlineStr">
        <is>
          <t>On-Time Delivery Rate</t>
        </is>
      </c>
    </row>
    <row r="2" ht="15" customHeight="1" s="15">
      <c r="A2" s="19" t="inlineStr">
        <is>
          <t>Northern Route</t>
        </is>
      </c>
      <c r="B2" s="19" t="inlineStr">
        <is>
          <t>Regional DC - North</t>
        </is>
      </c>
      <c r="C2" s="19" t="n">
        <v>140</v>
      </c>
      <c r="D2" s="19" t="n">
        <v>1.8</v>
      </c>
      <c r="E2" s="27" t="n">
        <v>30710</v>
      </c>
      <c r="F2" s="28" t="n">
        <v>0.972</v>
      </c>
    </row>
    <row r="3" ht="15" customHeight="1" s="15">
      <c r="A3" s="19" t="inlineStr">
        <is>
          <t>Southern Route</t>
        </is>
      </c>
      <c r="B3" s="19" t="inlineStr">
        <is>
          <t>Regional DC - South</t>
        </is>
      </c>
      <c r="C3" s="19" t="n">
        <v>213</v>
      </c>
      <c r="D3" s="19" t="n">
        <v>1.5</v>
      </c>
      <c r="E3" s="27" t="n">
        <v>24210</v>
      </c>
      <c r="F3" s="28" t="n">
        <v>0.948</v>
      </c>
    </row>
    <row r="4" ht="15" customHeight="1" s="15">
      <c r="A4" s="19" t="inlineStr">
        <is>
          <t>Coastal Route</t>
        </is>
      </c>
      <c r="B4" s="19" t="inlineStr">
        <is>
          <t>Coastal Distribution Center</t>
        </is>
      </c>
      <c r="C4" s="19" t="n">
        <v>177</v>
      </c>
      <c r="D4" s="19" t="n">
        <v>2.4</v>
      </c>
      <c r="E4" s="27" t="n">
        <v>36300</v>
      </c>
      <c r="F4" s="28" t="n">
        <v>0.661</v>
      </c>
    </row>
    <row r="5" ht="15" customHeight="1" s="15">
      <c r="A5" s="19" t="inlineStr">
        <is>
          <t>Eastern Route</t>
        </is>
      </c>
      <c r="B5" s="19" t="inlineStr">
        <is>
          <t>Regional DC - East</t>
        </is>
      </c>
      <c r="C5" s="19" t="n">
        <v>120</v>
      </c>
      <c r="D5" s="19" t="n">
        <v>1.2</v>
      </c>
      <c r="E5" s="27" t="n">
        <v>25200</v>
      </c>
      <c r="F5" s="28" t="n">
        <v>0.799</v>
      </c>
    </row>
    <row r="6" ht="15" customHeight="1" s="15">
      <c r="A6" s="19" t="inlineStr">
        <is>
          <t>Central Route</t>
        </is>
      </c>
      <c r="B6" s="19" t="inlineStr">
        <is>
          <t>Central Distribution Hub</t>
        </is>
      </c>
      <c r="C6" s="19" t="n">
        <v>119</v>
      </c>
      <c r="D6" s="19" t="n">
        <v>4.8</v>
      </c>
      <c r="E6" s="27" t="n">
        <v>20680</v>
      </c>
      <c r="F6" s="28" t="n">
        <v>0.861</v>
      </c>
    </row>
    <row r="7" ht="15" customHeight="1" s="15">
      <c r="A7" s="19" t="inlineStr">
        <is>
          <t>Western Route</t>
        </is>
      </c>
      <c r="B7" s="19" t="inlineStr">
        <is>
          <t>Regional DC - West</t>
        </is>
      </c>
      <c r="C7" s="19" t="n">
        <v>59</v>
      </c>
      <c r="D7" s="19" t="n">
        <v>3.4</v>
      </c>
      <c r="E7" s="27" t="n">
        <v>9340</v>
      </c>
      <c r="F7" s="28" t="n">
        <v>0.976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4" min="1" max="1"/>
    <col width="16" customWidth="1" style="14" min="2" max="2"/>
    <col width="14" customWidth="1" style="14" min="3" max="3"/>
    <col width="18" customWidth="1" style="14" min="4" max="4"/>
    <col width="16" customWidth="1" style="14" min="5" max="5"/>
    <col width="12" customWidth="1" style="14" min="6" max="6"/>
  </cols>
  <sheetData>
    <row r="1" ht="15" customHeight="1" s="15">
      <c r="A1" s="26" t="inlineStr">
        <is>
          <t>Livestock Type</t>
        </is>
      </c>
      <c r="B1" s="26" t="inlineStr">
        <is>
          <t>Total Herd/Flock</t>
        </is>
      </c>
      <c r="C1" s="26" t="inlineStr">
        <is>
          <t>Total Output</t>
        </is>
      </c>
      <c r="D1" s="26" t="inlineStr">
        <is>
          <t>Total Feed Cost ($)</t>
        </is>
      </c>
      <c r="E1" s="26" t="inlineStr">
        <is>
          <t>Total Revenue ($)</t>
        </is>
      </c>
      <c r="F1" s="26" t="inlineStr">
        <is>
          <t>Margin %</t>
        </is>
      </c>
    </row>
    <row r="2" ht="15" customHeight="1" s="15">
      <c r="A2" s="19" t="inlineStr">
        <is>
          <t>Dairy Cattle</t>
        </is>
      </c>
      <c r="B2" s="19">
        <f>SUMIF('Livestock Data'!B:B,A2,'Livestock Data'!D:D)</f>
        <v/>
      </c>
      <c r="C2" s="19">
        <f>SUMIF('Livestock Data'!B:B,A2,'Livestock Data'!F:F)</f>
        <v/>
      </c>
      <c r="D2" s="27">
        <f>SUMIF('Livestock Data'!B:B,A2,'Livestock Data'!G:G)</f>
        <v/>
      </c>
      <c r="E2" s="27">
        <f>SUMIF('Livestock Data'!B:B,A2,'Livestock Data'!H:H)</f>
        <v/>
      </c>
      <c r="F2" s="28">
        <f>IF(E2=0,0,(E2-D2)/E2)</f>
        <v/>
      </c>
    </row>
    <row r="3" ht="15" customHeight="1" s="15">
      <c r="A3" s="19" t="inlineStr">
        <is>
          <t>Beef Cattle</t>
        </is>
      </c>
      <c r="B3" s="19">
        <f>SUMIF('Livestock Data'!B:B,A3,'Livestock Data'!D:D)</f>
        <v/>
      </c>
      <c r="C3" s="19">
        <f>SUMIF('Livestock Data'!B:B,A3,'Livestock Data'!F:F)</f>
        <v/>
      </c>
      <c r="D3" s="27">
        <f>SUMIF('Livestock Data'!B:B,A3,'Livestock Data'!G:G)</f>
        <v/>
      </c>
      <c r="E3" s="27">
        <f>SUMIF('Livestock Data'!B:B,A3,'Livestock Data'!H:H)</f>
        <v/>
      </c>
      <c r="F3" s="28">
        <f>IF(E3=0,0,(E3-D3)/E3)</f>
        <v/>
      </c>
    </row>
    <row r="4" ht="15" customHeight="1" s="15">
      <c r="A4" s="19" t="inlineStr">
        <is>
          <t>Poultry (Broiler)</t>
        </is>
      </c>
      <c r="B4" s="19">
        <f>SUMIF('Livestock Data'!B:B,A4,'Livestock Data'!D:D)</f>
        <v/>
      </c>
      <c r="C4" s="19">
        <f>SUMIF('Livestock Data'!B:B,A4,'Livestock Data'!F:F)</f>
        <v/>
      </c>
      <c r="D4" s="27">
        <f>SUMIF('Livestock Data'!B:B,A4,'Livestock Data'!G:G)</f>
        <v/>
      </c>
      <c r="E4" s="27">
        <f>SUMIF('Livestock Data'!B:B,A4,'Livestock Data'!H:H)</f>
        <v/>
      </c>
      <c r="F4" s="28">
        <f>IF(E4=0,0,(E4-D4)/E4)</f>
        <v/>
      </c>
    </row>
    <row r="5" ht="15" customHeight="1" s="15">
      <c r="A5" s="19" t="inlineStr">
        <is>
          <t>Poultry (Layer)</t>
        </is>
      </c>
      <c r="B5" s="19">
        <f>SUMIF('Livestock Data'!B:B,A5,'Livestock Data'!D:D)</f>
        <v/>
      </c>
      <c r="C5" s="19">
        <f>SUMIF('Livestock Data'!B:B,A5,'Livestock Data'!F:F)</f>
        <v/>
      </c>
      <c r="D5" s="27">
        <f>SUMIF('Livestock Data'!B:B,A5,'Livestock Data'!G:G)</f>
        <v/>
      </c>
      <c r="E5" s="27">
        <f>SUMIF('Livestock Data'!B:B,A5,'Livestock Data'!H:H)</f>
        <v/>
      </c>
      <c r="F5" s="28">
        <f>IF(E5=0,0,(E5-D5)/E5)</f>
        <v/>
      </c>
    </row>
    <row r="6" ht="15" customHeight="1" s="15">
      <c r="A6" s="19" t="inlineStr">
        <is>
          <t>Swine</t>
        </is>
      </c>
      <c r="B6" s="19">
        <f>SUMIF('Livestock Data'!B:B,A6,'Livestock Data'!D:D)</f>
        <v/>
      </c>
      <c r="C6" s="19">
        <f>SUMIF('Livestock Data'!B:B,A6,'Livestock Data'!F:F)</f>
        <v/>
      </c>
      <c r="D6" s="27">
        <f>SUMIF('Livestock Data'!B:B,A6,'Livestock Data'!G:G)</f>
        <v/>
      </c>
      <c r="E6" s="27">
        <f>SUMIF('Livestock Data'!B:B,A6,'Livestock Data'!H:H)</f>
        <v/>
      </c>
      <c r="F6" s="28">
        <f>IF(E6=0,0,(E6-D6)/E6)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2026-06-30T03:35:48Z</dcterms:created>
  <dcterms:modified xmlns:dcterms="http://purl.org/dc/terms/" xmlns:xsi="http://www.w3.org/2001/XMLSchema-instance" xsi:type="dcterms:W3CDTF">2026-06-30T03:44:52Z</dcterms:modified>
  <cp:revision>1</cp:revision>
</cp:coreProperties>
</file>