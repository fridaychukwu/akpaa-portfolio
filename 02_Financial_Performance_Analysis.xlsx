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Quarterly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Revenue, Gross Profit &amp; Net Income by Month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'P&amp;L Statement'!A2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'P&amp;L Statement'!$B$1:$M$1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'P&amp;L Statement'!$B$2:$M$2</f>
              <numCache>
                <formatCode>\$#,##0</formatCode>
                <ptCount val="12"/>
                <pt idx="0">
                  <v>310000</v>
                </pt>
                <pt idx="1">
                  <v>295000</v>
                </pt>
                <pt idx="2">
                  <v>330000</v>
                </pt>
                <pt idx="3">
                  <v>340000</v>
                </pt>
                <pt idx="4">
                  <v>355000</v>
                </pt>
                <pt idx="5">
                  <v>370000</v>
                </pt>
                <pt idx="6">
                  <v>360000</v>
                </pt>
                <pt idx="7">
                  <v>375000</v>
                </pt>
                <pt idx="8">
                  <v>400000</v>
                </pt>
                <pt idx="9">
                  <v>430000</v>
                </pt>
                <pt idx="10">
                  <v>510000</v>
                </pt>
                <pt idx="11">
                  <v>560000</v>
                </pt>
              </numCache>
            </numRef>
          </val>
          <smooth val="1"/>
        </ser>
        <ser>
          <idx val="1"/>
          <order val="1"/>
          <tx>
            <strRef>
              <f>'P&amp;L Statement'!A5</f>
              <strCache>
                <ptCount val="1"/>
                <pt idx="0">
                  <v>Gross Profit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'P&amp;L Statement'!$B$1:$M$1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'P&amp;L Statement'!$B$5:$M$5</f>
              <numCache>
                <formatCode>\$#,##0</formatCode>
                <ptCount val="12"/>
                <pt idx="0">
                  <v>176700</v>
                </pt>
                <pt idx="1">
                  <v>168150</v>
                </pt>
                <pt idx="2">
                  <v>188100</v>
                </pt>
                <pt idx="3">
                  <v>193800</v>
                </pt>
                <pt idx="4">
                  <v>202350</v>
                </pt>
                <pt idx="5">
                  <v>210900</v>
                </pt>
                <pt idx="6">
                  <v>205200</v>
                </pt>
                <pt idx="7">
                  <v>213750</v>
                </pt>
                <pt idx="8">
                  <v>228000</v>
                </pt>
                <pt idx="9">
                  <v>245100</v>
                </pt>
                <pt idx="10">
                  <v>290700</v>
                </pt>
                <pt idx="11">
                  <v>319200</v>
                </pt>
              </numCache>
            </numRef>
          </val>
          <smooth val="1"/>
        </ser>
        <ser>
          <idx val="2"/>
          <order val="2"/>
          <tx>
            <strRef>
              <f>'P&amp;L Statement'!A14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'P&amp;L Statement'!$B$1:$M$1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'P&amp;L Statement'!$B$14:$M$14</f>
              <numCache>
                <formatCode>\$#,##0</formatCode>
                <ptCount val="12"/>
                <pt idx="0">
                  <v>17143</v>
                </pt>
                <pt idx="1">
                  <v>11178.5</v>
                </pt>
                <pt idx="2">
                  <v>25359</v>
                </pt>
                <pt idx="3">
                  <v>29072</v>
                </pt>
                <pt idx="4">
                  <v>35036.5</v>
                </pt>
                <pt idx="5">
                  <v>41001</v>
                </pt>
                <pt idx="6">
                  <v>35708</v>
                </pt>
                <pt idx="7">
                  <v>41672.5</v>
                </pt>
                <pt idx="8">
                  <v>51350</v>
                </pt>
                <pt idx="9">
                  <v>61699</v>
                </pt>
                <pt idx="10">
                  <v>92983</v>
                </pt>
                <pt idx="11">
                  <v>110758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5112009"/>
        <axId val="15011787"/>
      </lineChart>
      <catAx>
        <axId val="9511200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011787"/>
        <crosses val="autoZero"/>
        <auto val="1"/>
        <lblAlgn val="ctr"/>
        <lblOffset val="100"/>
        <noMultiLvlLbl val="0"/>
      </catAx>
      <valAx>
        <axId val="1501178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11200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Operating Expense Breakdown by Category (FY2025)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'P&amp;L Statement'!N6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'P&amp;L Statement'!$A$7:$A$10</f>
              <strCache>
                <ptCount val="4"/>
                <pt idx="0">
                  <v>Salaries &amp; Benefits</v>
                </pt>
                <pt idx="1">
                  <v>Marketing</v>
                </pt>
                <pt idx="2">
                  <v>R&amp;D</v>
                </pt>
                <pt idx="3">
                  <v>G&amp;A</v>
                </pt>
              </strCache>
            </strRef>
          </cat>
          <val>
            <numRef>
              <f>'P&amp;L Statement'!$N$7:$N$10</f>
              <numCache>
                <formatCode>\$#,##0</formatCode>
                <ptCount val="4"/>
                <pt idx="0">
                  <v>1020000</v>
                </pt>
                <pt idx="1">
                  <v>346000</v>
                </pt>
                <pt idx="2">
                  <v>360000</v>
                </pt>
                <pt idx="3">
                  <v>216000</v>
                </pt>
              </numCache>
            </numRef>
          </val>
        </ser>
        <gapWidth val="150"/>
        <overlap val="0"/>
        <axId val="61627118"/>
        <axId val="56154272"/>
      </barChart>
      <catAx>
        <axId val="6162711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154272"/>
        <crosses val="autoZero"/>
        <auto val="1"/>
        <lblAlgn val="ctr"/>
        <lblOffset val="100"/>
        <noMultiLvlLbl val="0"/>
      </catAx>
      <valAx>
        <axId val="5615427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16271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Quarterly Revenue vs Net Income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'Quarterly Summary'!B1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'Quarterly Summary'!$A$2:$A$5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'Quarterly Summary'!$B$2:$B$5</f>
              <numCache>
                <formatCode>\$#,##0</formatCode>
                <ptCount val="4"/>
                <pt idx="0">
                  <v>935000</v>
                </pt>
                <pt idx="1">
                  <v>1065000</v>
                </pt>
                <pt idx="2">
                  <v>1135000</v>
                </pt>
                <pt idx="3">
                  <v>1500000</v>
                </pt>
              </numCache>
            </numRef>
          </val>
        </ser>
        <ser>
          <idx val="1"/>
          <order val="1"/>
          <tx>
            <strRef>
              <f>'Quarterly Summary'!E1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'Quarterly Summary'!$A$2:$A$5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'Quarterly Summary'!$E$2:$E$5</f>
              <numCache>
                <formatCode>\$#,##0</formatCode>
                <ptCount val="4"/>
                <pt idx="0">
                  <v>53680.5</v>
                </pt>
                <pt idx="1">
                  <v>105109.5</v>
                </pt>
                <pt idx="2">
                  <v>128730.5</v>
                </pt>
                <pt idx="3">
                  <v>265440</v>
                </pt>
              </numCache>
            </numRef>
          </val>
        </ser>
        <gapWidth val="150"/>
        <overlap val="0"/>
        <axId val="68425158"/>
        <axId val="77979179"/>
      </barChart>
      <catAx>
        <axId val="6842515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979179"/>
        <crosses val="autoZero"/>
        <auto val="1"/>
        <lblAlgn val="ctr"/>
        <lblOffset val="100"/>
        <noMultiLvlLbl val="0"/>
      </catAx>
      <valAx>
        <axId val="7797917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42515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21</row>
      <rowOff>0</rowOff>
    </from>
    <to>
      <col>13</col>
      <colOff>181440</colOff>
      <row>43</row>
      <rowOff>128880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0</rowOff>
    </from>
    <to>
      <col>10</col>
      <colOff>136080</colOff>
      <row>65</row>
      <rowOff>128520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17</col>
      <colOff>364680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0" customWidth="1" style="15" min="2" max="2"/>
    <col width="16" customWidth="1" style="15" min="3" max="3"/>
  </cols>
  <sheetData>
    <row r="1"/>
    <row r="2" ht="19.7" customHeight="1" s="16">
      <c r="B2" s="17" t="inlineStr">
        <is>
          <t>Financial Performance Analysis — FY2025 | the parent holding group</t>
        </is>
      </c>
    </row>
    <row r="3" ht="15" customHeight="1" s="16">
      <c r="B3" s="18" t="inlineStr">
        <is>
          <t>Prepared by the Corporate Finance &amp; Analytics Team — the parent holding group</t>
        </is>
      </c>
    </row>
    <row r="4"/>
    <row r="5" ht="15" customHeight="1" s="16">
      <c r="B5" s="19" t="inlineStr">
        <is>
          <t>Key Metric</t>
        </is>
      </c>
      <c r="C5" s="19" t="inlineStr">
        <is>
          <t>Value</t>
        </is>
      </c>
    </row>
    <row r="6" ht="15" customHeight="1" s="16">
      <c r="B6" s="20" t="inlineStr">
        <is>
          <t>Total Revenue</t>
        </is>
      </c>
      <c r="C6" s="21">
        <f>'P&amp;L Statement'!N4</f>
        <v/>
      </c>
    </row>
    <row r="7" ht="15" customHeight="1" s="16">
      <c r="B7" s="20" t="inlineStr">
        <is>
          <t>Gross Profit</t>
        </is>
      </c>
      <c r="C7" s="21">
        <f>'P&amp;L Statement'!N7</f>
        <v/>
      </c>
    </row>
    <row r="8" ht="15" customHeight="1" s="16">
      <c r="B8" s="20" t="inlineStr">
        <is>
          <t>Gross Margin %</t>
        </is>
      </c>
      <c r="C8" s="22">
        <f>'P&amp;L Statement'!N7/'P&amp;L Statement'!N4</f>
        <v/>
      </c>
    </row>
    <row r="9" ht="15" customHeight="1" s="16">
      <c r="B9" s="20" t="inlineStr">
        <is>
          <t>Operating Income (EBIT)</t>
        </is>
      </c>
      <c r="C9" s="21">
        <f>'P&amp;L Statement'!N12</f>
        <v/>
      </c>
    </row>
    <row r="10" ht="15" customHeight="1" s="16">
      <c r="B10" s="20" t="inlineStr">
        <is>
          <t>Operating Margin %</t>
        </is>
      </c>
      <c r="C10" s="22">
        <f>'P&amp;L Statement'!N12/'P&amp;L Statement'!N4</f>
        <v/>
      </c>
    </row>
    <row r="11" ht="15" customHeight="1" s="16">
      <c r="B11" s="20" t="inlineStr">
        <is>
          <t>Net Income</t>
        </is>
      </c>
      <c r="C11" s="21">
        <f>'P&amp;L Statement'!N15</f>
        <v/>
      </c>
    </row>
    <row r="12" ht="15" customHeight="1" s="16">
      <c r="B12" s="20" t="inlineStr">
        <is>
          <t>Net Margin %</t>
        </is>
      </c>
      <c r="C12" s="22">
        <f>'P&amp;L Statement'!N15/'P&amp;L Statement'!N4</f>
        <v/>
      </c>
    </row>
    <row r="13"/>
    <row r="14" ht="15" customHeight="1" s="16">
      <c r="B14" s="23" t="inlineStr">
        <is>
          <t>Key Findings</t>
        </is>
      </c>
    </row>
    <row r="15" ht="15" customHeight="1" s="16">
      <c r="B15" s="24" t="inlineStr">
        <is>
          <t>1. Revenue grew steadily across all quarters, with Q4 the strongest period.</t>
        </is>
      </c>
    </row>
    <row r="16" ht="15" customHeight="1" s="16">
      <c r="B16" s="24" t="inlineStr">
        <is>
          <t>2. Gross margin held above 55%, indicating healthy pricing and cost control.</t>
        </is>
      </c>
    </row>
    <row r="17" ht="15" customHeight="1" s="16">
      <c r="B17" s="24" t="inlineStr">
        <is>
          <t>3. Operating expenses grew slower than revenue, expanding operating margin.</t>
        </is>
      </c>
    </row>
    <row r="18" ht="15" customHeight="1" s="16">
      <c r="B18" s="24" t="inlineStr">
        <is>
          <t>4. Net income margin improved year-over-year due to disciplined opex management.</t>
        </is>
      </c>
    </row>
    <row r="19" ht="15" customHeight="1" s="16">
      <c r="B19" s="24" t="inlineStr">
        <is>
          <t>5. Marketing spend as a % of revenue increased, supporting the sales growth seen in Q3-Q4.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5" min="1" max="1"/>
    <col width="10" customWidth="1" style="15" min="2" max="13"/>
    <col width="14" customWidth="1" style="15" min="14" max="14"/>
  </cols>
  <sheetData>
    <row r="1" ht="15" customHeight="1" s="16">
      <c r="A1" s="25" t="inlineStr">
        <is>
          <t>Line Item</t>
        </is>
      </c>
      <c r="B1" s="25" t="inlineStr">
        <is>
          <t>Jan</t>
        </is>
      </c>
      <c r="C1" s="25" t="inlineStr">
        <is>
          <t>Feb</t>
        </is>
      </c>
      <c r="D1" s="25" t="inlineStr">
        <is>
          <t>Mar</t>
        </is>
      </c>
      <c r="E1" s="25" t="inlineStr">
        <is>
          <t>Apr</t>
        </is>
      </c>
      <c r="F1" s="25" t="inlineStr">
        <is>
          <t>May</t>
        </is>
      </c>
      <c r="G1" s="25" t="inlineStr">
        <is>
          <t>Jun</t>
        </is>
      </c>
      <c r="H1" s="25" t="inlineStr">
        <is>
          <t>Jul</t>
        </is>
      </c>
      <c r="I1" s="25" t="inlineStr">
        <is>
          <t>Aug</t>
        </is>
      </c>
      <c r="J1" s="25" t="inlineStr">
        <is>
          <t>Sep</t>
        </is>
      </c>
      <c r="K1" s="25" t="inlineStr">
        <is>
          <t>Oct</t>
        </is>
      </c>
      <c r="L1" s="25" t="inlineStr">
        <is>
          <t>Nov</t>
        </is>
      </c>
      <c r="M1" s="25" t="inlineStr">
        <is>
          <t>Dec</t>
        </is>
      </c>
      <c r="N1" s="25" t="inlineStr">
        <is>
          <t>FY2025 Total</t>
        </is>
      </c>
    </row>
    <row r="2" ht="15" customHeight="1" s="16">
      <c r="A2" s="26" t="inlineStr">
        <is>
          <t>Revenue</t>
        </is>
      </c>
      <c r="B2" s="27" t="n">
        <v>310000</v>
      </c>
      <c r="C2" s="27" t="n">
        <v>295000</v>
      </c>
      <c r="D2" s="27" t="n">
        <v>330000</v>
      </c>
      <c r="E2" s="27" t="n">
        <v>340000</v>
      </c>
      <c r="F2" s="27" t="n">
        <v>355000</v>
      </c>
      <c r="G2" s="27" t="n">
        <v>370000</v>
      </c>
      <c r="H2" s="27" t="n">
        <v>360000</v>
      </c>
      <c r="I2" s="27" t="n">
        <v>375000</v>
      </c>
      <c r="J2" s="27" t="n">
        <v>400000</v>
      </c>
      <c r="K2" s="27" t="n">
        <v>430000</v>
      </c>
      <c r="L2" s="27" t="n">
        <v>510000</v>
      </c>
      <c r="M2" s="27" t="n">
        <v>560000</v>
      </c>
      <c r="N2" s="28">
        <f>SUM(B2:M2)</f>
        <v/>
      </c>
    </row>
    <row r="3" ht="15" customHeight="1" s="16">
      <c r="A3" s="29" t="inlineStr">
        <is>
          <t>COGS</t>
        </is>
      </c>
      <c r="B3" s="28">
        <f>B2*0.43</f>
        <v/>
      </c>
      <c r="C3" s="28">
        <f>C2*0.43</f>
        <v/>
      </c>
      <c r="D3" s="28">
        <f>D2*0.43</f>
        <v/>
      </c>
      <c r="E3" s="28">
        <f>E2*0.43</f>
        <v/>
      </c>
      <c r="F3" s="28">
        <f>F2*0.43</f>
        <v/>
      </c>
      <c r="G3" s="28">
        <f>G2*0.43</f>
        <v/>
      </c>
      <c r="H3" s="28">
        <f>H2*0.43</f>
        <v/>
      </c>
      <c r="I3" s="28">
        <f>I2*0.43</f>
        <v/>
      </c>
      <c r="J3" s="28">
        <f>J2*0.43</f>
        <v/>
      </c>
      <c r="K3" s="28">
        <f>K2*0.43</f>
        <v/>
      </c>
      <c r="L3" s="28">
        <f>L2*0.43</f>
        <v/>
      </c>
      <c r="M3" s="28">
        <f>M2*0.43</f>
        <v/>
      </c>
      <c r="N3" s="28">
        <f>SUM(B3:M3)</f>
        <v/>
      </c>
    </row>
    <row r="4" ht="15" customHeight="1" s="16">
      <c r="A4" s="26" t="inlineStr">
        <is>
          <t>Net Revenue</t>
        </is>
      </c>
      <c r="B4" s="28">
        <f>B2</f>
        <v/>
      </c>
      <c r="C4" s="28">
        <f>C2</f>
        <v/>
      </c>
      <c r="D4" s="28">
        <f>D2</f>
        <v/>
      </c>
      <c r="E4" s="28">
        <f>E2</f>
        <v/>
      </c>
      <c r="F4" s="28">
        <f>F2</f>
        <v/>
      </c>
      <c r="G4" s="28">
        <f>G2</f>
        <v/>
      </c>
      <c r="H4" s="28">
        <f>H2</f>
        <v/>
      </c>
      <c r="I4" s="28">
        <f>I2</f>
        <v/>
      </c>
      <c r="J4" s="28">
        <f>J2</f>
        <v/>
      </c>
      <c r="K4" s="28">
        <f>K2</f>
        <v/>
      </c>
      <c r="L4" s="28">
        <f>L2</f>
        <v/>
      </c>
      <c r="M4" s="28">
        <f>M2</f>
        <v/>
      </c>
      <c r="N4" s="28">
        <f>N2</f>
        <v/>
      </c>
    </row>
    <row r="5" ht="15" customHeight="1" s="16">
      <c r="A5" s="26" t="inlineStr">
        <is>
          <t>Gross Profit</t>
        </is>
      </c>
      <c r="B5" s="28">
        <f>B2-B3</f>
        <v/>
      </c>
      <c r="C5" s="28">
        <f>C2-C3</f>
        <v/>
      </c>
      <c r="D5" s="28">
        <f>D2-D3</f>
        <v/>
      </c>
      <c r="E5" s="28">
        <f>E2-E3</f>
        <v/>
      </c>
      <c r="F5" s="28">
        <f>F2-F3</f>
        <v/>
      </c>
      <c r="G5" s="28">
        <f>G2-G3</f>
        <v/>
      </c>
      <c r="H5" s="28">
        <f>H2-H3</f>
        <v/>
      </c>
      <c r="I5" s="28">
        <f>I2-I3</f>
        <v/>
      </c>
      <c r="J5" s="28">
        <f>J2-J3</f>
        <v/>
      </c>
      <c r="K5" s="28">
        <f>K2-K3</f>
        <v/>
      </c>
      <c r="L5" s="28">
        <f>L2-L3</f>
        <v/>
      </c>
      <c r="M5" s="28">
        <f>M2-M3</f>
        <v/>
      </c>
      <c r="N5" s="28">
        <f>SUM(B5:M5)</f>
        <v/>
      </c>
    </row>
    <row r="6" ht="15" customHeight="1" s="16">
      <c r="A6" s="26" t="inlineStr">
        <is>
          <t>Operating Expenses: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</row>
    <row r="7" ht="15" customHeight="1" s="16">
      <c r="A7" s="29" t="inlineStr">
        <is>
          <t>Salaries &amp; Benefits</t>
        </is>
      </c>
      <c r="B7" s="27" t="n">
        <v>85000</v>
      </c>
      <c r="C7" s="27" t="n">
        <v>85000</v>
      </c>
      <c r="D7" s="27" t="n">
        <v>85000</v>
      </c>
      <c r="E7" s="27" t="n">
        <v>85000</v>
      </c>
      <c r="F7" s="27" t="n">
        <v>85000</v>
      </c>
      <c r="G7" s="27" t="n">
        <v>85000</v>
      </c>
      <c r="H7" s="27" t="n">
        <v>85000</v>
      </c>
      <c r="I7" s="27" t="n">
        <v>85000</v>
      </c>
      <c r="J7" s="27" t="n">
        <v>85000</v>
      </c>
      <c r="K7" s="27" t="n">
        <v>85000</v>
      </c>
      <c r="L7" s="27" t="n">
        <v>85000</v>
      </c>
      <c r="M7" s="27" t="n">
        <v>85000</v>
      </c>
      <c r="N7" s="28">
        <f>SUM(B7:M7)</f>
        <v/>
      </c>
    </row>
    <row r="8" ht="15" customHeight="1" s="16">
      <c r="A8" s="29" t="inlineStr">
        <is>
          <t>Marketing</t>
        </is>
      </c>
      <c r="B8" s="27" t="n">
        <v>22000</v>
      </c>
      <c r="C8" s="27" t="n">
        <v>21000</v>
      </c>
      <c r="D8" s="27" t="n">
        <v>23000</v>
      </c>
      <c r="E8" s="27" t="n">
        <v>24000</v>
      </c>
      <c r="F8" s="27" t="n">
        <v>25000</v>
      </c>
      <c r="G8" s="27" t="n">
        <v>26000</v>
      </c>
      <c r="H8" s="27" t="n">
        <v>27000</v>
      </c>
      <c r="I8" s="27" t="n">
        <v>28000</v>
      </c>
      <c r="J8" s="27" t="n">
        <v>30000</v>
      </c>
      <c r="K8" s="27" t="n">
        <v>34000</v>
      </c>
      <c r="L8" s="27" t="n">
        <v>40000</v>
      </c>
      <c r="M8" s="27" t="n">
        <v>46000</v>
      </c>
      <c r="N8" s="28">
        <f>SUM(B8:M8)</f>
        <v/>
      </c>
    </row>
    <row r="9" ht="15" customHeight="1" s="16">
      <c r="A9" s="29" t="inlineStr">
        <is>
          <t>R&amp;D</t>
        </is>
      </c>
      <c r="B9" s="27" t="n">
        <v>30000</v>
      </c>
      <c r="C9" s="27" t="n">
        <v>30000</v>
      </c>
      <c r="D9" s="27" t="n">
        <v>30000</v>
      </c>
      <c r="E9" s="27" t="n">
        <v>30000</v>
      </c>
      <c r="F9" s="27" t="n">
        <v>30000</v>
      </c>
      <c r="G9" s="27" t="n">
        <v>30000</v>
      </c>
      <c r="H9" s="27" t="n">
        <v>30000</v>
      </c>
      <c r="I9" s="27" t="n">
        <v>30000</v>
      </c>
      <c r="J9" s="27" t="n">
        <v>30000</v>
      </c>
      <c r="K9" s="27" t="n">
        <v>30000</v>
      </c>
      <c r="L9" s="27" t="n">
        <v>30000</v>
      </c>
      <c r="M9" s="27" t="n">
        <v>30000</v>
      </c>
      <c r="N9" s="28">
        <f>SUM(B9:M9)</f>
        <v/>
      </c>
    </row>
    <row r="10" ht="15" customHeight="1" s="16">
      <c r="A10" s="29" t="inlineStr">
        <is>
          <t>G&amp;A</t>
        </is>
      </c>
      <c r="B10" s="27" t="n">
        <v>18000</v>
      </c>
      <c r="C10" s="27" t="n">
        <v>18000</v>
      </c>
      <c r="D10" s="27" t="n">
        <v>18000</v>
      </c>
      <c r="E10" s="27" t="n">
        <v>18000</v>
      </c>
      <c r="F10" s="27" t="n">
        <v>18000</v>
      </c>
      <c r="G10" s="27" t="n">
        <v>18000</v>
      </c>
      <c r="H10" s="27" t="n">
        <v>18000</v>
      </c>
      <c r="I10" s="27" t="n">
        <v>18000</v>
      </c>
      <c r="J10" s="27" t="n">
        <v>18000</v>
      </c>
      <c r="K10" s="27" t="n">
        <v>18000</v>
      </c>
      <c r="L10" s="27" t="n">
        <v>18000</v>
      </c>
      <c r="M10" s="27" t="n">
        <v>18000</v>
      </c>
      <c r="N10" s="28">
        <f>SUM(B10:M10)</f>
        <v/>
      </c>
    </row>
    <row r="11" ht="15" customHeight="1" s="16">
      <c r="A11" s="26" t="inlineStr">
        <is>
          <t>Total Operating Expenses</t>
        </is>
      </c>
      <c r="B11" s="28">
        <f>B7+B8+B9+B10</f>
        <v/>
      </c>
      <c r="C11" s="28">
        <f>C7+C8+C9+C10</f>
        <v/>
      </c>
      <c r="D11" s="28">
        <f>D7+D8+D9+D10</f>
        <v/>
      </c>
      <c r="E11" s="28">
        <f>E7+E8+E9+E10</f>
        <v/>
      </c>
      <c r="F11" s="28">
        <f>F7+F8+F9+F10</f>
        <v/>
      </c>
      <c r="G11" s="28">
        <f>G7+G8+G9+G10</f>
        <v/>
      </c>
      <c r="H11" s="28">
        <f>H7+H8+H9+H10</f>
        <v/>
      </c>
      <c r="I11" s="28">
        <f>I7+I8+I9+I10</f>
        <v/>
      </c>
      <c r="J11" s="28">
        <f>J7+J8+J9+J10</f>
        <v/>
      </c>
      <c r="K11" s="28">
        <f>K7+K8+K9+K10</f>
        <v/>
      </c>
      <c r="L11" s="28">
        <f>L7+L8+L9+L10</f>
        <v/>
      </c>
      <c r="M11" s="28">
        <f>M7+M8+M9+M10</f>
        <v/>
      </c>
      <c r="N11" s="28">
        <f>SUM(B11:M11)</f>
        <v/>
      </c>
    </row>
    <row r="12" ht="15" customHeight="1" s="16">
      <c r="A12" s="26" t="inlineStr">
        <is>
          <t>Operating Income (EBIT)</t>
        </is>
      </c>
      <c r="B12" s="28">
        <f>B5-B11</f>
        <v/>
      </c>
      <c r="C12" s="28">
        <f>C5-C11</f>
        <v/>
      </c>
      <c r="D12" s="28">
        <f>D5-D11</f>
        <v/>
      </c>
      <c r="E12" s="28">
        <f>E5-E11</f>
        <v/>
      </c>
      <c r="F12" s="28">
        <f>F5-F11</f>
        <v/>
      </c>
      <c r="G12" s="28">
        <f>G5-G11</f>
        <v/>
      </c>
      <c r="H12" s="28">
        <f>H5-H11</f>
        <v/>
      </c>
      <c r="I12" s="28">
        <f>I5-I11</f>
        <v/>
      </c>
      <c r="J12" s="28">
        <f>J5-J11</f>
        <v/>
      </c>
      <c r="K12" s="28">
        <f>K5-K11</f>
        <v/>
      </c>
      <c r="L12" s="28">
        <f>L5-L11</f>
        <v/>
      </c>
      <c r="M12" s="28">
        <f>M5-M11</f>
        <v/>
      </c>
      <c r="N12" s="28">
        <f>SUM(B12:M12)</f>
        <v/>
      </c>
    </row>
    <row r="13" ht="15" customHeight="1" s="16">
      <c r="A13" s="29" t="inlineStr">
        <is>
          <t>Income Tax (21%)</t>
        </is>
      </c>
      <c r="B13" s="28">
        <f>B12*0.21</f>
        <v/>
      </c>
      <c r="C13" s="28">
        <f>C12*0.21</f>
        <v/>
      </c>
      <c r="D13" s="28">
        <f>D12*0.21</f>
        <v/>
      </c>
      <c r="E13" s="28">
        <f>E12*0.21</f>
        <v/>
      </c>
      <c r="F13" s="28">
        <f>F12*0.21</f>
        <v/>
      </c>
      <c r="G13" s="28">
        <f>G12*0.21</f>
        <v/>
      </c>
      <c r="H13" s="28">
        <f>H12*0.21</f>
        <v/>
      </c>
      <c r="I13" s="28">
        <f>I12*0.21</f>
        <v/>
      </c>
      <c r="J13" s="28">
        <f>J12*0.21</f>
        <v/>
      </c>
      <c r="K13" s="28">
        <f>K12*0.21</f>
        <v/>
      </c>
      <c r="L13" s="28">
        <f>L12*0.21</f>
        <v/>
      </c>
      <c r="M13" s="28">
        <f>M12*0.21</f>
        <v/>
      </c>
      <c r="N13" s="28">
        <f>SUM(B13:M13)</f>
        <v/>
      </c>
    </row>
    <row r="14" ht="15" customHeight="1" s="16">
      <c r="A14" s="26" t="inlineStr">
        <is>
          <t>Net Income</t>
        </is>
      </c>
      <c r="B14" s="28">
        <f>B12-B13</f>
        <v/>
      </c>
      <c r="C14" s="28">
        <f>C12-C13</f>
        <v/>
      </c>
      <c r="D14" s="28">
        <f>D12-D13</f>
        <v/>
      </c>
      <c r="E14" s="28">
        <f>E12-E13</f>
        <v/>
      </c>
      <c r="F14" s="28">
        <f>F12-F13</f>
        <v/>
      </c>
      <c r="G14" s="28">
        <f>G12-G13</f>
        <v/>
      </c>
      <c r="H14" s="28">
        <f>H12-H13</f>
        <v/>
      </c>
      <c r="I14" s="28">
        <f>I12-I13</f>
        <v/>
      </c>
      <c r="J14" s="28">
        <f>J12-J13</f>
        <v/>
      </c>
      <c r="K14" s="28">
        <f>K12-K13</f>
        <v/>
      </c>
      <c r="L14" s="28">
        <f>L12-L13</f>
        <v/>
      </c>
      <c r="M14" s="28">
        <f>M12-M13</f>
        <v/>
      </c>
      <c r="N14" s="28">
        <f>SUM(B14:M14)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14" customWidth="1" style="15" min="2" max="3"/>
    <col width="16" customWidth="1" style="15" min="4" max="4"/>
    <col width="14" customWidth="1" style="15" min="5" max="6"/>
  </cols>
  <sheetData>
    <row r="1" ht="15" customHeight="1" s="16">
      <c r="A1" s="25" t="inlineStr">
        <is>
          <t>Quarter</t>
        </is>
      </c>
      <c r="B1" s="25" t="inlineStr">
        <is>
          <t>Revenue</t>
        </is>
      </c>
      <c r="C1" s="25" t="inlineStr">
        <is>
          <t>Gross Profit</t>
        </is>
      </c>
      <c r="D1" s="25" t="inlineStr">
        <is>
          <t>Operating Income</t>
        </is>
      </c>
      <c r="E1" s="25" t="inlineStr">
        <is>
          <t>Net Income</t>
        </is>
      </c>
      <c r="F1" s="25" t="inlineStr">
        <is>
          <t>Net Margin %</t>
        </is>
      </c>
    </row>
    <row r="2" ht="15" customHeight="1" s="16">
      <c r="A2" s="29" t="inlineStr">
        <is>
          <t>Q1</t>
        </is>
      </c>
      <c r="B2" s="28">
        <f>SUM('P&amp;L Statement'!B2:D2)</f>
        <v/>
      </c>
      <c r="C2" s="28">
        <f>SUM('P&amp;L Statement'!B5:D5)</f>
        <v/>
      </c>
      <c r="D2" s="28">
        <f>SUM('P&amp;L Statement'!B12:D12)</f>
        <v/>
      </c>
      <c r="E2" s="28">
        <f>SUM('P&amp;L Statement'!B14:D14)</f>
        <v/>
      </c>
      <c r="F2" s="30">
        <f>E2/B2</f>
        <v/>
      </c>
    </row>
    <row r="3" ht="15" customHeight="1" s="16">
      <c r="A3" s="29" t="inlineStr">
        <is>
          <t>Q2</t>
        </is>
      </c>
      <c r="B3" s="28">
        <f>SUM('P&amp;L Statement'!E2:G2)</f>
        <v/>
      </c>
      <c r="C3" s="28">
        <f>SUM('P&amp;L Statement'!E5:G5)</f>
        <v/>
      </c>
      <c r="D3" s="28">
        <f>SUM('P&amp;L Statement'!E12:G12)</f>
        <v/>
      </c>
      <c r="E3" s="28">
        <f>SUM('P&amp;L Statement'!E14:G14)</f>
        <v/>
      </c>
      <c r="F3" s="30">
        <f>E3/B3</f>
        <v/>
      </c>
    </row>
    <row r="4" ht="15" customHeight="1" s="16">
      <c r="A4" s="29" t="inlineStr">
        <is>
          <t>Q3</t>
        </is>
      </c>
      <c r="B4" s="28">
        <f>SUM('P&amp;L Statement'!H2:J2)</f>
        <v/>
      </c>
      <c r="C4" s="28">
        <f>SUM('P&amp;L Statement'!H5:J5)</f>
        <v/>
      </c>
      <c r="D4" s="28">
        <f>SUM('P&amp;L Statement'!H12:J12)</f>
        <v/>
      </c>
      <c r="E4" s="28">
        <f>SUM('P&amp;L Statement'!H14:J14)</f>
        <v/>
      </c>
      <c r="F4" s="30">
        <f>E4/B4</f>
        <v/>
      </c>
    </row>
    <row r="5" ht="15" customHeight="1" s="16">
      <c r="A5" s="29" t="inlineStr">
        <is>
          <t>Q4</t>
        </is>
      </c>
      <c r="B5" s="28">
        <f>SUM('P&amp;L Statement'!K2:M2)</f>
        <v/>
      </c>
      <c r="C5" s="28">
        <f>SUM('P&amp;L Statement'!K5:M5)</f>
        <v/>
      </c>
      <c r="D5" s="28">
        <f>SUM('P&amp;L Statement'!K12:M12)</f>
        <v/>
      </c>
      <c r="E5" s="28">
        <f>SUM('P&amp;L Statement'!K14:M14)</f>
        <v/>
      </c>
      <c r="F5" s="30">
        <f>E5/B5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2026-06-30T03:34:04Z</dcterms:created>
  <dcterms:modified xmlns:dcterms="http://purl.org/dc/terms/" xmlns:xsi="http://www.w3.org/2001/XMLSchema-instance" xsi:type="dcterms:W3CDTF">2026-06-30T03:44:52Z</dcterms:modified>
  <cp:revision>1</cp:revision>
</cp:coreProperties>
</file>