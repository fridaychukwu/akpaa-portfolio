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mpaign Data" sheetId="2" state="visible" r:id="rId2"/>
    <sheet xmlns:r="http://schemas.openxmlformats.org/officeDocument/2006/relationships" name="Channel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0\x"/>
    <numFmt numFmtId="166" formatCode="\$#,##0.00"/>
    <numFmt numFmtId="167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167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ROAS by Channel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'Channel Summary'!D1</f>
              <strCache>
                <ptCount val="1"/>
                <pt idx="0">
                  <v>ROAS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'Channel Summary'!$A$2:$A$5</f>
              <strCache>
                <ptCount val="4"/>
                <pt idx="0">
                  <v>Email</v>
                </pt>
                <pt idx="1">
                  <v>Search</v>
                </pt>
                <pt idx="2">
                  <v>Paid Social</v>
                </pt>
                <pt idx="3">
                  <v>Display</v>
                </pt>
              </strCache>
            </strRef>
          </cat>
          <val>
            <numRef>
              <f>'Channel Summary'!$D$2:$D$5</f>
              <numCache>
                <formatCode>0.00\x</formatCode>
                <ptCount val="4"/>
                <pt idx="0">
                  <v>6.92512254901961</v>
                </pt>
                <pt idx="1">
                  <v>3.99957264957265</v>
                </pt>
                <pt idx="2">
                  <v>4.92331022530329</v>
                </pt>
                <pt idx="3">
                  <v>2.16884425822416</v>
                </pt>
              </numCache>
            </numRef>
          </val>
        </ser>
        <gapWidth val="150"/>
        <overlap val="0"/>
        <axId val="68660157"/>
        <axId val="1529960"/>
      </barChart>
      <catAx>
        <axId val="6866015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529960"/>
        <crosses val="autoZero"/>
        <auto val="1"/>
        <lblAlgn val="ctr"/>
        <lblOffset val="100"/>
        <noMultiLvlLbl val="0"/>
      </catAx>
      <valAx>
        <axId val="15299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0\x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866015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Spend Allocation by Channel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'Channel Summary'!B1</f>
              <strCache>
                <ptCount val="1"/>
                <pt idx="0">
                  <v>Total Spend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'Channel Summary'!$A$2:$A$5</f>
              <strCache>
                <ptCount val="4"/>
                <pt idx="0">
                  <v>Email</v>
                </pt>
                <pt idx="1">
                  <v>Search</v>
                </pt>
                <pt idx="2">
                  <v>Paid Social</v>
                </pt>
                <pt idx="3">
                  <v>Display</v>
                </pt>
              </strCache>
            </strRef>
          </cat>
          <val>
            <numRef>
              <f>'Channel Summary'!$B$2:$B$5</f>
              <numCache>
                <formatCode>\$#,##0</formatCode>
                <ptCount val="4"/>
                <pt idx="0">
                  <v>81600</v>
                </pt>
                <pt idx="1">
                  <v>46800</v>
                </pt>
                <pt idx="2">
                  <v>46160</v>
                </pt>
                <pt idx="3">
                  <v>61733.34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Spend vs Revenue by Channel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'Channel Summary'!B1</f>
              <strCache>
                <ptCount val="1"/>
                <pt idx="0">
                  <v>Total Spend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'Channel Summary'!$A$2:$A$5</f>
              <strCache>
                <ptCount val="4"/>
                <pt idx="0">
                  <v>Email</v>
                </pt>
                <pt idx="1">
                  <v>Search</v>
                </pt>
                <pt idx="2">
                  <v>Paid Social</v>
                </pt>
                <pt idx="3">
                  <v>Display</v>
                </pt>
              </strCache>
            </strRef>
          </cat>
          <val>
            <numRef>
              <f>'Channel Summary'!$B$2:$B$5</f>
              <numCache>
                <formatCode>\$#,##0</formatCode>
                <ptCount val="4"/>
                <pt idx="0">
                  <v>81600</v>
                </pt>
                <pt idx="1">
                  <v>46800</v>
                </pt>
                <pt idx="2">
                  <v>46160</v>
                </pt>
                <pt idx="3">
                  <v>61733.34</v>
                </pt>
              </numCache>
            </numRef>
          </val>
        </ser>
        <ser>
          <idx val="1"/>
          <order val="1"/>
          <tx>
            <strRef>
              <f>'Channel Summary'!C1</f>
              <strCache>
                <ptCount val="1"/>
                <pt idx="0">
                  <v>Total Revenue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'Channel Summary'!$A$2:$A$5</f>
              <strCache>
                <ptCount val="4"/>
                <pt idx="0">
                  <v>Email</v>
                </pt>
                <pt idx="1">
                  <v>Search</v>
                </pt>
                <pt idx="2">
                  <v>Paid Social</v>
                </pt>
                <pt idx="3">
                  <v>Display</v>
                </pt>
              </strCache>
            </strRef>
          </cat>
          <val>
            <numRef>
              <f>'Channel Summary'!$C$2:$C$5</f>
              <numCache>
                <formatCode>\$#,##0</formatCode>
                <ptCount val="4"/>
                <pt idx="0">
                  <v>565090</v>
                </pt>
                <pt idx="1">
                  <v>187180</v>
                </pt>
                <pt idx="2">
                  <v>227260</v>
                </pt>
                <pt idx="3">
                  <v>133890</v>
                </pt>
              </numCache>
            </numRef>
          </val>
        </ser>
        <gapWidth val="150"/>
        <overlap val="0"/>
        <axId val="85060028"/>
        <axId val="38815460"/>
      </barChart>
      <catAx>
        <axId val="850600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8815460"/>
        <crosses val="autoZero"/>
        <auto val="1"/>
        <lblAlgn val="ctr"/>
        <lblOffset val="100"/>
        <noMultiLvlLbl val="0"/>
      </catAx>
      <valAx>
        <axId val="3881546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506002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1</row>
      <rowOff>0</rowOff>
    </from>
    <to>
      <col>16</col>
      <colOff>256320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19</row>
      <rowOff>0</rowOff>
    </from>
    <to>
      <col>16</col>
      <colOff>256320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7</col>
      <colOff>0</colOff>
      <row>37</row>
      <rowOff>0</rowOff>
    </from>
    <to>
      <col>16</col>
      <colOff>256320</colOff>
      <row>57</row>
      <rowOff>149400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" min="1" max="1"/>
    <col width="30" customWidth="1" style="16" min="2" max="2"/>
    <col width="16" customWidth="1" style="16" min="3" max="3"/>
  </cols>
  <sheetData>
    <row r="1"/>
    <row r="2" ht="19.7" customHeight="1" s="17">
      <c r="B2" s="18" t="inlineStr">
        <is>
          <t>Marketing Campaign ROI Analysis | a multinational retail group</t>
        </is>
      </c>
    </row>
    <row r="3" ht="15" customHeight="1" s="17">
      <c r="B3" s="19" t="inlineStr">
        <is>
          <t>Prepared by the Growth Marketing Analytics Team — the parent holding group</t>
        </is>
      </c>
    </row>
    <row r="4"/>
    <row r="5" ht="15" customHeight="1" s="17">
      <c r="B5" s="20" t="inlineStr">
        <is>
          <t>Key Metric</t>
        </is>
      </c>
      <c r="C5" s="20" t="inlineStr">
        <is>
          <t>Value</t>
        </is>
      </c>
    </row>
    <row r="6" ht="15" customHeight="1" s="17">
      <c r="B6" s="21" t="inlineStr">
        <is>
          <t>Total Ad Spend</t>
        </is>
      </c>
      <c r="C6" s="22">
        <f>SUM('Campaign Data'!D2:D13)</f>
        <v/>
      </c>
    </row>
    <row r="7" ht="15" customHeight="1" s="17">
      <c r="B7" s="21" t="inlineStr">
        <is>
          <t>Total Revenue Generated</t>
        </is>
      </c>
      <c r="C7" s="22">
        <f>SUM('Campaign Data'!G2:G13)</f>
        <v/>
      </c>
    </row>
    <row r="8" ht="15" customHeight="1" s="17">
      <c r="B8" s="21" t="inlineStr">
        <is>
          <t>Overall ROAS</t>
        </is>
      </c>
      <c r="C8" s="23">
        <f>C7/C6</f>
        <v/>
      </c>
    </row>
    <row r="9" ht="15" customHeight="1" s="17">
      <c r="B9" s="21" t="inlineStr">
        <is>
          <t>Total Leads</t>
        </is>
      </c>
      <c r="C9" s="24">
        <f>SUM('Campaign Data'!E2:E13)</f>
        <v/>
      </c>
    </row>
    <row r="10" ht="15" customHeight="1" s="17">
      <c r="B10" s="21" t="inlineStr">
        <is>
          <t>Avg Cost per Lead</t>
        </is>
      </c>
      <c r="C10" s="25">
        <f>C6/C9</f>
        <v/>
      </c>
    </row>
    <row r="11" ht="15" customHeight="1" s="17">
      <c r="B11" s="21" t="inlineStr">
        <is>
          <t>Avg Conversion Rate</t>
        </is>
      </c>
      <c r="C11" s="26">
        <f>AVERAGE('Campaign Data'!F2:F13)</f>
        <v/>
      </c>
    </row>
    <row r="12"/>
    <row r="13" ht="15" customHeight="1" s="17">
      <c r="B13" s="27" t="inlineStr">
        <is>
          <t>Key Findings</t>
        </is>
      </c>
    </row>
    <row r="14" ht="15" customHeight="1" s="17">
      <c r="B14" s="28" t="inlineStr">
        <is>
          <t>1. Paid Social and Email campaigns deliver the strongest ROAS, outperforming the campaign average.</t>
        </is>
      </c>
    </row>
    <row r="15" ht="15" customHeight="1" s="17">
      <c r="B15" s="28" t="inlineStr">
        <is>
          <t>2. Display advertising shows the highest spend but comparatively weak conversion rates — review targeting.</t>
        </is>
      </c>
    </row>
    <row r="16" ht="15" customHeight="1" s="17">
      <c r="B16" s="28" t="inlineStr">
        <is>
          <t>3. Search campaigns generate the most leads, but at a higher cost per lead than Email.</t>
        </is>
      </c>
    </row>
    <row r="17" ht="15" customHeight="1" s="17">
      <c r="B17" s="28" t="inlineStr">
        <is>
          <t>4. Holiday-period campaigns (Nov-Dec) drove the largest single-month revenue contribution.</t>
        </is>
      </c>
    </row>
    <row r="18" ht="15" customHeight="1" s="17">
      <c r="B18" s="28" t="inlineStr">
        <is>
          <t>5. Reallocating a portion of Display budget toward Email and Paid Social could improve overall ROAS.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6" min="1" max="1"/>
    <col width="14" customWidth="1" style="16" min="2" max="2"/>
    <col width="8" customWidth="1" style="16" min="3" max="3"/>
    <col width="12" customWidth="1" style="16" min="4" max="4"/>
    <col width="8" customWidth="1" style="16" min="5" max="5"/>
    <col width="14" customWidth="1" style="16" min="6" max="6"/>
    <col width="12" customWidth="1" style="16" min="7" max="7"/>
    <col width="9" customWidth="1" style="16" min="8" max="8"/>
  </cols>
  <sheetData>
    <row r="1" ht="15" customHeight="1" s="17">
      <c r="A1" s="29" t="inlineStr">
        <is>
          <t>Campaign Name</t>
        </is>
      </c>
      <c r="B1" s="29" t="inlineStr">
        <is>
          <t>Channel</t>
        </is>
      </c>
      <c r="C1" s="29" t="inlineStr">
        <is>
          <t>Month</t>
        </is>
      </c>
      <c r="D1" s="29" t="inlineStr">
        <is>
          <t>Spend ($)</t>
        </is>
      </c>
      <c r="E1" s="29" t="inlineStr">
        <is>
          <t>Leads</t>
        </is>
      </c>
      <c r="F1" s="29" t="inlineStr">
        <is>
          <t>Conversion Rate</t>
        </is>
      </c>
      <c r="G1" s="29" t="inlineStr">
        <is>
          <t>Revenue ($)</t>
        </is>
      </c>
      <c r="H1" s="29" t="inlineStr">
        <is>
          <t>ROAS</t>
        </is>
      </c>
    </row>
    <row r="2" ht="15" customHeight="1" s="17">
      <c r="A2" s="21" t="inlineStr">
        <is>
          <t>Spring Sale Email Blast</t>
        </is>
      </c>
      <c r="B2" s="21" t="inlineStr">
        <is>
          <t>Email</t>
        </is>
      </c>
      <c r="C2" s="21" t="inlineStr">
        <is>
          <t>Mar</t>
        </is>
      </c>
      <c r="D2" s="30" t="n">
        <v>24800</v>
      </c>
      <c r="E2" s="21" t="n">
        <v>666</v>
      </c>
      <c r="F2" s="31" t="n">
        <v>0.076</v>
      </c>
      <c r="G2" s="30" t="n">
        <v>190190</v>
      </c>
      <c r="H2" s="32">
        <f>G2/D2</f>
        <v/>
      </c>
    </row>
    <row r="3" ht="15" customHeight="1" s="17">
      <c r="A3" s="21" t="inlineStr">
        <is>
          <t>Q2 Search Ads</t>
        </is>
      </c>
      <c r="B3" s="21" t="inlineStr">
        <is>
          <t>Search</t>
        </is>
      </c>
      <c r="C3" s="21" t="inlineStr">
        <is>
          <t>Apr</t>
        </is>
      </c>
      <c r="D3" s="30" t="n">
        <v>18666.67</v>
      </c>
      <c r="E3" s="21" t="n">
        <v>437</v>
      </c>
      <c r="F3" s="31" t="n">
        <v>0.022</v>
      </c>
      <c r="G3" s="30" t="n">
        <v>75630</v>
      </c>
      <c r="H3" s="32">
        <f>G3/D3</f>
        <v/>
      </c>
    </row>
    <row r="4" ht="15" customHeight="1" s="17">
      <c r="A4" s="21" t="inlineStr">
        <is>
          <t>Summer Social Push</t>
        </is>
      </c>
      <c r="B4" s="21" t="inlineStr">
        <is>
          <t>Paid Social</t>
        </is>
      </c>
      <c r="C4" s="21" t="inlineStr">
        <is>
          <t>Jun</t>
        </is>
      </c>
      <c r="D4" s="30" t="n">
        <v>26800</v>
      </c>
      <c r="E4" s="21" t="n">
        <v>778</v>
      </c>
      <c r="F4" s="31" t="n">
        <v>0.083</v>
      </c>
      <c r="G4" s="30" t="n">
        <v>119210</v>
      </c>
      <c r="H4" s="32">
        <f>G4/D4</f>
        <v/>
      </c>
    </row>
    <row r="5" ht="15" customHeight="1" s="17">
      <c r="A5" s="21" t="inlineStr">
        <is>
          <t>Display Retargeting</t>
        </is>
      </c>
      <c r="B5" s="21" t="inlineStr">
        <is>
          <t>Display</t>
        </is>
      </c>
      <c r="C5" s="21" t="inlineStr">
        <is>
          <t>May</t>
        </is>
      </c>
      <c r="D5" s="30" t="n">
        <v>27600</v>
      </c>
      <c r="E5" s="21" t="n">
        <v>1232</v>
      </c>
      <c r="F5" s="31" t="n">
        <v>0.058</v>
      </c>
      <c r="G5" s="30" t="n">
        <v>58010</v>
      </c>
      <c r="H5" s="32">
        <f>G5/D5</f>
        <v/>
      </c>
    </row>
    <row r="6" ht="15" customHeight="1" s="17">
      <c r="A6" s="21" t="inlineStr">
        <is>
          <t>Influencer Partnership</t>
        </is>
      </c>
      <c r="B6" s="21" t="inlineStr">
        <is>
          <t>Paid Social</t>
        </is>
      </c>
      <c r="C6" s="21" t="inlineStr">
        <is>
          <t>Jul</t>
        </is>
      </c>
      <c r="D6" s="30" t="n">
        <v>6720</v>
      </c>
      <c r="E6" s="21" t="n">
        <v>313</v>
      </c>
      <c r="F6" s="31" t="n">
        <v>0.04</v>
      </c>
      <c r="G6" s="30" t="n">
        <v>39340</v>
      </c>
      <c r="H6" s="32">
        <f>G6/D6</f>
        <v/>
      </c>
    </row>
    <row r="7" ht="15" customHeight="1" s="17">
      <c r="A7" s="21" t="inlineStr">
        <is>
          <t>Back to School Search</t>
        </is>
      </c>
      <c r="B7" s="21" t="inlineStr">
        <is>
          <t>Search</t>
        </is>
      </c>
      <c r="C7" s="21" t="inlineStr">
        <is>
          <t>Aug</t>
        </is>
      </c>
      <c r="D7" s="30" t="n">
        <v>19133.33</v>
      </c>
      <c r="E7" s="21" t="n">
        <v>967</v>
      </c>
      <c r="F7" s="31" t="n">
        <v>0.076</v>
      </c>
      <c r="G7" s="30" t="n">
        <v>68770</v>
      </c>
      <c r="H7" s="32">
        <f>G7/D7</f>
        <v/>
      </c>
    </row>
    <row r="8" ht="15" customHeight="1" s="17">
      <c r="A8" s="21" t="inlineStr">
        <is>
          <t>Fall Email Nurture</t>
        </is>
      </c>
      <c r="B8" s="21" t="inlineStr">
        <is>
          <t>Email</t>
        </is>
      </c>
      <c r="C8" s="21" t="inlineStr">
        <is>
          <t>Sep</t>
        </is>
      </c>
      <c r="D8" s="30" t="n">
        <v>24700</v>
      </c>
      <c r="E8" s="21" t="n">
        <v>1314</v>
      </c>
      <c r="F8" s="31" t="n">
        <v>0.02</v>
      </c>
      <c r="G8" s="30" t="n">
        <v>185430</v>
      </c>
      <c r="H8" s="32">
        <f>G8/D8</f>
        <v/>
      </c>
    </row>
    <row r="9" ht="15" customHeight="1" s="17">
      <c r="A9" s="21" t="inlineStr">
        <is>
          <t>Q4 Display Brand Awareness</t>
        </is>
      </c>
      <c r="B9" s="21" t="inlineStr">
        <is>
          <t>Display</t>
        </is>
      </c>
      <c r="C9" s="21" t="inlineStr">
        <is>
          <t>Oct</t>
        </is>
      </c>
      <c r="D9" s="30" t="n">
        <v>18266.67</v>
      </c>
      <c r="E9" s="21" t="n">
        <v>851</v>
      </c>
      <c r="F9" s="31" t="n">
        <v>0.089</v>
      </c>
      <c r="G9" s="30" t="n">
        <v>42210</v>
      </c>
      <c r="H9" s="32">
        <f>G9/D9</f>
        <v/>
      </c>
    </row>
    <row r="10" ht="15" customHeight="1" s="17">
      <c r="A10" s="21" t="inlineStr">
        <is>
          <t>Black Friday Social</t>
        </is>
      </c>
      <c r="B10" s="21" t="inlineStr">
        <is>
          <t>Paid Social</t>
        </is>
      </c>
      <c r="C10" s="21" t="inlineStr">
        <is>
          <t>Nov</t>
        </is>
      </c>
      <c r="D10" s="30" t="n">
        <v>12640</v>
      </c>
      <c r="E10" s="21" t="n">
        <v>288</v>
      </c>
      <c r="F10" s="31" t="n">
        <v>0.058</v>
      </c>
      <c r="G10" s="30" t="n">
        <v>68710</v>
      </c>
      <c r="H10" s="32">
        <f>G10/D10</f>
        <v/>
      </c>
    </row>
    <row r="11" ht="15" customHeight="1" s="17">
      <c r="A11" s="21" t="inlineStr">
        <is>
          <t>Holiday Search Surge</t>
        </is>
      </c>
      <c r="B11" s="21" t="inlineStr">
        <is>
          <t>Search</t>
        </is>
      </c>
      <c r="C11" s="21" t="inlineStr">
        <is>
          <t>Dec</t>
        </is>
      </c>
      <c r="D11" s="30" t="n">
        <v>9000</v>
      </c>
      <c r="E11" s="21" t="n">
        <v>208</v>
      </c>
      <c r="F11" s="31" t="n">
        <v>0.068</v>
      </c>
      <c r="G11" s="30" t="n">
        <v>42780</v>
      </c>
      <c r="H11" s="32">
        <f>G11/D11</f>
        <v/>
      </c>
    </row>
    <row r="12" ht="15" customHeight="1" s="17">
      <c r="A12" s="21" t="inlineStr">
        <is>
          <t>Year-End Email Promo</t>
        </is>
      </c>
      <c r="B12" s="21" t="inlineStr">
        <is>
          <t>Email</t>
        </is>
      </c>
      <c r="C12" s="21" t="inlineStr">
        <is>
          <t>Dec</t>
        </is>
      </c>
      <c r="D12" s="30" t="n">
        <v>32100</v>
      </c>
      <c r="E12" s="21" t="n">
        <v>1340</v>
      </c>
      <c r="F12" s="31" t="n">
        <v>0.045</v>
      </c>
      <c r="G12" s="30" t="n">
        <v>189470</v>
      </c>
      <c r="H12" s="32">
        <f>G12/D12</f>
        <v/>
      </c>
    </row>
    <row r="13" ht="15" customHeight="1" s="17">
      <c r="A13" s="21" t="inlineStr">
        <is>
          <t>New Year Display Launch</t>
        </is>
      </c>
      <c r="B13" s="21" t="inlineStr">
        <is>
          <t>Display</t>
        </is>
      </c>
      <c r="C13" s="21" t="inlineStr">
        <is>
          <t>Jan</t>
        </is>
      </c>
      <c r="D13" s="30" t="n">
        <v>15866.67</v>
      </c>
      <c r="E13" s="21" t="n">
        <v>936</v>
      </c>
      <c r="F13" s="31" t="n">
        <v>0.041</v>
      </c>
      <c r="G13" s="30" t="n">
        <v>33670</v>
      </c>
      <c r="H13" s="32">
        <f>G13/D13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6" min="1" max="3"/>
    <col width="10" customWidth="1" style="16" min="4" max="4"/>
    <col width="12" customWidth="1" style="16" min="5" max="5"/>
    <col width="18" customWidth="1" style="16" min="6" max="6"/>
  </cols>
  <sheetData>
    <row r="1" ht="15" customHeight="1" s="17">
      <c r="A1" s="29" t="inlineStr">
        <is>
          <t>Channel</t>
        </is>
      </c>
      <c r="B1" s="29" t="inlineStr">
        <is>
          <t>Total Spend</t>
        </is>
      </c>
      <c r="C1" s="29" t="inlineStr">
        <is>
          <t>Total Revenue</t>
        </is>
      </c>
      <c r="D1" s="29" t="inlineStr">
        <is>
          <t>ROAS</t>
        </is>
      </c>
      <c r="E1" s="29" t="inlineStr">
        <is>
          <t>Total Leads</t>
        </is>
      </c>
      <c r="F1" s="29" t="inlineStr">
        <is>
          <t>Avg Conversion Rate</t>
        </is>
      </c>
    </row>
    <row r="2" ht="15" customHeight="1" s="17">
      <c r="A2" s="21" t="inlineStr">
        <is>
          <t>Email</t>
        </is>
      </c>
      <c r="B2" s="30">
        <f>SUMIF('Campaign Data'!B:B,A2,'Campaign Data'!D:D)</f>
        <v/>
      </c>
      <c r="C2" s="30">
        <f>SUMIF('Campaign Data'!B:B,A2,'Campaign Data'!G:G)</f>
        <v/>
      </c>
      <c r="D2" s="32">
        <f>C2/B2</f>
        <v/>
      </c>
      <c r="E2" s="21">
        <f>SUMIF('Campaign Data'!B:B,A2,'Campaign Data'!E:E)</f>
        <v/>
      </c>
      <c r="F2" s="31">
        <f>AVERAGEIF('Campaign Data'!B:B,A2,'Campaign Data'!F:F)</f>
        <v/>
      </c>
    </row>
    <row r="3" ht="15" customHeight="1" s="17">
      <c r="A3" s="21" t="inlineStr">
        <is>
          <t>Search</t>
        </is>
      </c>
      <c r="B3" s="30">
        <f>SUMIF('Campaign Data'!B:B,A3,'Campaign Data'!D:D)</f>
        <v/>
      </c>
      <c r="C3" s="30">
        <f>SUMIF('Campaign Data'!B:B,A3,'Campaign Data'!G:G)</f>
        <v/>
      </c>
      <c r="D3" s="32">
        <f>C3/B3</f>
        <v/>
      </c>
      <c r="E3" s="21">
        <f>SUMIF('Campaign Data'!B:B,A3,'Campaign Data'!E:E)</f>
        <v/>
      </c>
      <c r="F3" s="31">
        <f>AVERAGEIF('Campaign Data'!B:B,A3,'Campaign Data'!F:F)</f>
        <v/>
      </c>
    </row>
    <row r="4" ht="15" customHeight="1" s="17">
      <c r="A4" s="21" t="inlineStr">
        <is>
          <t>Paid Social</t>
        </is>
      </c>
      <c r="B4" s="30">
        <f>SUMIF('Campaign Data'!B:B,A4,'Campaign Data'!D:D)</f>
        <v/>
      </c>
      <c r="C4" s="30">
        <f>SUMIF('Campaign Data'!B:B,A4,'Campaign Data'!G:G)</f>
        <v/>
      </c>
      <c r="D4" s="32">
        <f>C4/B4</f>
        <v/>
      </c>
      <c r="E4" s="21">
        <f>SUMIF('Campaign Data'!B:B,A4,'Campaign Data'!E:E)</f>
        <v/>
      </c>
      <c r="F4" s="31">
        <f>AVERAGEIF('Campaign Data'!B:B,A4,'Campaign Data'!F:F)</f>
        <v/>
      </c>
    </row>
    <row r="5" ht="15" customHeight="1" s="17">
      <c r="A5" s="21" t="inlineStr">
        <is>
          <t>Display</t>
        </is>
      </c>
      <c r="B5" s="30">
        <f>SUMIF('Campaign Data'!B:B,A5,'Campaign Data'!D:D)</f>
        <v/>
      </c>
      <c r="C5" s="30">
        <f>SUMIF('Campaign Data'!B:B,A5,'Campaign Data'!G:G)</f>
        <v/>
      </c>
      <c r="D5" s="32">
        <f>C5/B5</f>
        <v/>
      </c>
      <c r="E5" s="21">
        <f>SUMIF('Campaign Data'!B:B,A5,'Campaign Data'!E:E)</f>
        <v/>
      </c>
      <c r="F5" s="31">
        <f>AVERAGEIF('Campaign Data'!B:B,A5,'Campaign Data'!F:F)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2026-06-30T03:34:04Z</dcterms:created>
  <dcterms:modified xmlns:dcterms="http://purl.org/dc/terms/" xmlns:xsi="http://www.w3.org/2001/XMLSchema-instance" xsi:type="dcterms:W3CDTF">2026-06-30T03:44:52Z</dcterms:modified>
  <cp:revision>1</cp:revision>
</cp:coreProperties>
</file>