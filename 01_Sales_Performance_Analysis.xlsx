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Sales" sheetId="2" state="visible" r:id="rId2"/>
    <sheet xmlns:r="http://schemas.openxmlformats.org/officeDocument/2006/relationships" name="Regional Sales" sheetId="3" state="visible" r:id="rId3"/>
    <sheet xmlns:r="http://schemas.openxmlformats.org/officeDocument/2006/relationships" name="Product Mix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\$#,##0.0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color rgb="FF1F4E78"/>
      <sz val="11"/>
    </font>
    <font>
      <name val="Arial"/>
      <charset val="1"/>
      <family val="0"/>
      <b val="1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49" fontId="8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4F81BD"/>
      <rgbColor rgb="FFCCCCCC"/>
      <rgbColor rgb="FF878787"/>
      <rgbColor rgb="FF93A9CE"/>
      <rgbColor rgb="FFAB4744"/>
      <rgbColor rgb="FFFFFFCC"/>
      <rgbColor rgb="FFCCFFFF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8064A2"/>
      <rgbColor rgb="FFFFCC99"/>
      <rgbColor rgb="FF4A7EBB"/>
      <rgbColor rgb="FF4BACC6"/>
      <rgbColor rgb="FF9BBB59"/>
      <rgbColor rgb="FFFFCC00"/>
      <rgbColor rgb="FFFF9900"/>
      <rgbColor rgb="FFFF6600"/>
      <rgbColor rgb="FF725990"/>
      <rgbColor rgb="FF8AA64F"/>
      <rgbColor rgb="FF003366"/>
      <rgbColor rgb="FF4299B0"/>
      <rgbColor rgb="FF003300"/>
      <rgbColor rgb="FF333300"/>
      <rgbColor rgb="FFC0504D"/>
      <rgbColor rgb="FFBE4B48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Revenue Trend: Current vs Prior Year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'Monthly Sales'!C1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'Monthly Sales'!$A$2:$A$13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Sales'!$C$2:$C$13</f>
              <numCache>
                <formatCode>\$#,##0</formatCode>
                <ptCount val="12"/>
                <pt idx="0">
                  <v>74687</v>
                </pt>
                <pt idx="1">
                  <v>77872</v>
                </pt>
                <pt idx="2">
                  <v>86732</v>
                </pt>
                <pt idx="3">
                  <v>74744</v>
                </pt>
                <pt idx="4">
                  <v>90735</v>
                </pt>
                <pt idx="5">
                  <v>99828</v>
                </pt>
                <pt idx="6">
                  <v>104973</v>
                </pt>
                <pt idx="7">
                  <v>88626</v>
                </pt>
                <pt idx="8">
                  <v>82439</v>
                </pt>
                <pt idx="9">
                  <v>83313</v>
                </pt>
                <pt idx="10">
                  <v>109626</v>
                </pt>
                <pt idx="11">
                  <v>117160</v>
                </pt>
              </numCache>
            </numRef>
          </val>
          <smooth val="1"/>
        </ser>
        <ser>
          <idx val="1"/>
          <order val="1"/>
          <tx>
            <strRef>
              <f>'Monthly Sales'!E1</f>
              <strCache>
                <ptCount val="1"/>
                <pt idx="0">
                  <v>Prior Year Revenue</v>
                </pt>
              </strCache>
            </strRef>
          </tx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'Monthly Sales'!$A$2:$A$13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Sales'!$E$2:$E$13</f>
              <numCache>
                <formatCode>\$#,##0</formatCode>
                <ptCount val="12"/>
                <pt idx="0">
                  <v>64985</v>
                </pt>
                <pt idx="1">
                  <v>70254</v>
                </pt>
                <pt idx="2">
                  <v>81653</v>
                </pt>
                <pt idx="3">
                  <v>67565</v>
                </pt>
                <pt idx="4">
                  <v>81898</v>
                </pt>
                <pt idx="5">
                  <v>85113</v>
                </pt>
                <pt idx="6">
                  <v>99660</v>
                </pt>
                <pt idx="7">
                  <v>80602</v>
                </pt>
                <pt idx="8">
                  <v>78232</v>
                </pt>
                <pt idx="9">
                  <v>74757</v>
                </pt>
                <pt idx="10">
                  <v>101652</v>
                </pt>
                <pt idx="11">
                  <v>111285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64676005"/>
        <axId val="74520147"/>
      </lineChart>
      <catAx>
        <axId val="6467600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4520147"/>
        <crosses val="autoZero"/>
        <auto val="1"/>
        <lblAlgn val="ctr"/>
        <lblOffset val="100"/>
        <noMultiLvlLbl val="0"/>
      </catAx>
      <valAx>
        <axId val="7452014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4676005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Units Sold by Month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'Monthly Sales'!D1</f>
              <strCache>
                <ptCount val="1"/>
                <pt idx="0">
                  <v>Units Sold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'Monthly Sales'!$A$2:$A$13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'Monthly Sales'!$D$2:$D$13</f>
              <numCache>
                <formatCode>#,##0</formatCode>
                <ptCount val="12"/>
                <pt idx="0">
                  <v>1294</v>
                </pt>
                <pt idx="1">
                  <v>1485</v>
                </pt>
                <pt idx="2">
                  <v>1526</v>
                </pt>
                <pt idx="3">
                  <v>1299</v>
                </pt>
                <pt idx="4">
                  <v>2015</v>
                </pt>
                <pt idx="5">
                  <v>2061</v>
                </pt>
                <pt idx="6">
                  <v>2309</v>
                </pt>
                <pt idx="7">
                  <v>1500</v>
                </pt>
                <pt idx="8">
                  <v>1606</v>
                </pt>
                <pt idx="9">
                  <v>1616</v>
                </pt>
                <pt idx="10">
                  <v>2262</v>
                </pt>
                <pt idx="11">
                  <v>2374</v>
                </pt>
              </numCache>
            </numRef>
          </val>
        </ser>
        <gapWidth val="150"/>
        <overlap val="0"/>
        <axId val="66102183"/>
        <axId val="92374148"/>
      </barChart>
      <catAx>
        <axId val="661021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2374148"/>
        <crosses val="autoZero"/>
        <auto val="1"/>
        <lblAlgn val="ctr"/>
        <lblOffset val="100"/>
        <noMultiLvlLbl val="0"/>
      </catAx>
      <valAx>
        <axId val="92374148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6610218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Share by Region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'Regional Sales'!B1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'Regional Sales'!$A$2:$A$6</f>
              <strCache>
                <ptCount val="5"/>
                <pt idx="0">
                  <v>North</v>
                </pt>
                <pt idx="1">
                  <v>South</v>
                </pt>
                <pt idx="2">
                  <v>East</v>
                </pt>
                <pt idx="3">
                  <v>West</v>
                </pt>
                <pt idx="4">
                  <v>Central</v>
                </pt>
              </strCache>
            </strRef>
          </cat>
          <val>
            <numRef>
              <f>'Regional Sales'!$B$2:$B$6</f>
              <numCache>
                <formatCode>\$#,##0</formatCode>
                <ptCount val="5"/>
                <pt idx="0">
                  <v>620000</v>
                </pt>
                <pt idx="1">
                  <v>780000</v>
                </pt>
                <pt idx="2">
                  <v>910000</v>
                </pt>
                <pt idx="3">
                  <v>1150000</v>
                </pt>
                <pt idx="4">
                  <v>540000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'Regional Sales'!B1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'Regional Sales'!$A$2:$A$6</f>
              <strCache>
                <ptCount val="5"/>
                <pt idx="0">
                  <v>North</v>
                </pt>
                <pt idx="1">
                  <v>South</v>
                </pt>
                <pt idx="2">
                  <v>East</v>
                </pt>
                <pt idx="3">
                  <v>West</v>
                </pt>
                <pt idx="4">
                  <v>Central</v>
                </pt>
              </strCache>
            </strRef>
          </cat>
          <val>
            <numRef>
              <f>'Regional Sales'!$B$2:$B$6</f>
              <numCache>
                <formatCode>\$#,##0</formatCode>
                <ptCount val="5"/>
                <pt idx="0">
                  <v>620000</v>
                </pt>
                <pt idx="1">
                  <v>780000</v>
                </pt>
                <pt idx="2">
                  <v>910000</v>
                </pt>
                <pt idx="3">
                  <v>1150000</v>
                </pt>
                <pt idx="4">
                  <v>540000</v>
                </pt>
              </numCache>
            </numRef>
          </val>
        </ser>
        <gapWidth val="150"/>
        <overlap val="0"/>
        <axId val="14288670"/>
        <axId val="97286306"/>
      </barChart>
      <catAx>
        <axId val="1428867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97286306"/>
        <crosses val="autoZero"/>
        <auto val="1"/>
        <lblAlgn val="ctr"/>
        <lblOffset val="100"/>
        <noMultiLvlLbl val="0"/>
      </catAx>
      <valAx>
        <axId val="9728630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\$#,##0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428867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Revenue by Product Category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'Product Mix'!C1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xmlns:a="http://schemas.openxmlformats.org/drawingml/2006/main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latin typeface="Arial"/>
                    </a:defRPr>
                  </a:pPr>
                  <a:r>
                    <a:t/>
                  </a:r>
                </a:p>
              </txPr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'Product Mix'!$A$2:$A$8</f>
              <strCache>
                <ptCount val="7"/>
                <pt idx="0">
                  <v>Electronics</v>
                </pt>
                <pt idx="1">
                  <v>Home &amp; Kitchen</v>
                </pt>
                <pt idx="2">
                  <v>Apparel</v>
                </pt>
                <pt idx="3">
                  <v>Sporting Goods</v>
                </pt>
                <pt idx="4">
                  <v>Beauty</v>
                </pt>
                <pt idx="5">
                  <v>Toys</v>
                </pt>
                <pt idx="6">
                  <v>Office Supplies</v>
                </pt>
              </strCache>
            </strRef>
          </cat>
          <val>
            <numRef>
              <f>'Product Mix'!$C$2:$C$8</f>
              <numCache>
                <formatCode>\$#,##0</formatCode>
                <ptCount val="7"/>
                <pt idx="0">
                  <v>1480000</v>
                </pt>
                <pt idx="1">
                  <v>710000</v>
                </pt>
                <pt idx="2">
                  <v>630000</v>
                </pt>
                <pt idx="3">
                  <v>490000</v>
                </pt>
                <pt idx="4">
                  <v>369000</v>
                </pt>
                <pt idx="5">
                  <v>258000</v>
                </pt>
                <pt idx="6">
                  <v>192000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twoCellAnchor editAs="oneCell">
    <from>
      <col>6</col>
      <colOff>0</colOff>
      <row>1</row>
      <rowOff>0</rowOff>
    </from>
    <to>
      <col>18</col>
      <colOff>581760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23</row>
      <rowOff>0</rowOff>
    </from>
    <to>
      <col>18</col>
      <colOff>581760</colOff>
      <row>43</row>
      <rowOff>149760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0</colOff>
      <row>1</row>
      <rowOff>0</rowOff>
    </from>
    <to>
      <col>15</col>
      <colOff>255960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6</col>
      <colOff>0</colOff>
      <row>19</row>
      <rowOff>0</rowOff>
    </from>
    <to>
      <col>15</col>
      <colOff>255960</colOff>
      <row>39</row>
      <rowOff>149400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15</col>
      <colOff>364320</colOff>
      <row>21</row>
      <rowOff>149400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6" min="1" max="1"/>
    <col width="28" customWidth="1" style="16" min="2" max="2"/>
    <col width="18" customWidth="1" style="16" min="3" max="3"/>
    <col width="5" customWidth="1" style="16" min="4" max="6"/>
  </cols>
  <sheetData>
    <row r="1"/>
    <row r="2" ht="19.7" customHeight="1" s="17">
      <c r="B2" s="18" t="inlineStr">
        <is>
          <t>Sales Performance Analysis — FY2025 | a multinational retail group</t>
        </is>
      </c>
    </row>
    <row r="3" ht="15" customHeight="1" s="17">
      <c r="B3" s="19" t="inlineStr">
        <is>
          <t>Prepared by the Corporate Strategy &amp; Analytics Team — the parent holding group</t>
        </is>
      </c>
    </row>
    <row r="4"/>
    <row r="5" ht="15" customHeight="1" s="17">
      <c r="B5" s="20" t="inlineStr">
        <is>
          <t>Key Metric</t>
        </is>
      </c>
      <c r="C5" s="20" t="inlineStr">
        <is>
          <t>Value</t>
        </is>
      </c>
    </row>
    <row r="6" ht="15" customHeight="1" s="17">
      <c r="B6" s="21" t="inlineStr">
        <is>
          <t>Total Revenue</t>
        </is>
      </c>
      <c r="C6" s="22">
        <f>SUM('Monthly Sales'!C2:C13)</f>
        <v/>
      </c>
    </row>
    <row r="7" ht="15" customHeight="1" s="17">
      <c r="B7" s="21" t="inlineStr">
        <is>
          <t>Total Units Sold</t>
        </is>
      </c>
      <c r="C7" s="23">
        <f>SUM('Monthly Sales'!D2:D13)</f>
        <v/>
      </c>
    </row>
    <row r="8" ht="15" customHeight="1" s="17">
      <c r="B8" s="21" t="inlineStr">
        <is>
          <t>Avg Order Value</t>
        </is>
      </c>
      <c r="C8" s="22">
        <f>'Monthly Sales'!C14/'Monthly Sales'!D14</f>
        <v/>
      </c>
    </row>
    <row r="9" ht="15" customHeight="1" s="17">
      <c r="B9" s="21" t="inlineStr">
        <is>
          <t>YoY Growth</t>
        </is>
      </c>
      <c r="C9" s="24">
        <f>(SUM('Monthly Sales'!C2:C13)-SUM('Monthly Sales'!E2:E13))/SUM('Monthly Sales'!E2:E13)</f>
        <v/>
      </c>
    </row>
    <row r="10" ht="15" customHeight="1" s="17">
      <c r="B10" s="21" t="inlineStr">
        <is>
          <t>Top Region</t>
        </is>
      </c>
      <c r="C10" s="25">
        <f>INDEX('Regional Sales'!A2:A6,MATCH(MAX('Regional Sales'!C2:C6),'Regional Sales'!C2:C6,0))</f>
        <v/>
      </c>
    </row>
    <row r="11" ht="15" customHeight="1" s="17">
      <c r="B11" s="21" t="inlineStr">
        <is>
          <t>Top Product</t>
        </is>
      </c>
      <c r="C11" s="25">
        <f>INDEX('Product Mix'!A2:A8,MATCH(MAX('Product Mix'!C2:C8),'Product Mix'!C2:C8,0))</f>
        <v/>
      </c>
    </row>
    <row r="12"/>
    <row r="13" ht="15" customHeight="1" s="17">
      <c r="B13" s="26" t="inlineStr">
        <is>
          <t>Key Findings</t>
        </is>
      </c>
    </row>
    <row r="14" ht="15" customHeight="1" s="17">
      <c r="B14" s="27" t="inlineStr">
        <is>
          <t>1. Revenue grew year-over-year, led by strong Q4 seasonal demand.</t>
        </is>
      </c>
    </row>
    <row r="15" ht="15" customHeight="1" s="17">
      <c r="B15" s="27" t="inlineStr">
        <is>
          <t>2. The West region generated the highest sales volume; the North region lags behind plan.</t>
        </is>
      </c>
    </row>
    <row r="16" ht="15" customHeight="1" s="17">
      <c r="B16" s="27" t="inlineStr">
        <is>
          <t>3. Electronics is the top-performing product category by revenue contribution.</t>
        </is>
      </c>
    </row>
    <row r="17" ht="15" customHeight="1" s="17">
      <c r="B17" s="27" t="inlineStr">
        <is>
          <t>4. Average order value increased slightly, suggesting effective upsell/bundle strategies.</t>
        </is>
      </c>
    </row>
    <row r="18" ht="15" customHeight="1" s="17">
      <c r="B18" s="27" t="inlineStr">
        <is>
          <t>5. Sales show clear seasonality, peaking in November–December.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6" min="1" max="1"/>
    <col width="8" customWidth="1" style="16" min="2" max="2"/>
    <col width="14" customWidth="1" style="16" min="3" max="3"/>
    <col width="12" customWidth="1" style="16" min="4" max="4"/>
    <col width="18" customWidth="1" style="16" min="5" max="5"/>
  </cols>
  <sheetData>
    <row r="1" ht="15" customHeight="1" s="17">
      <c r="A1" s="28" t="inlineStr">
        <is>
          <t>Month</t>
        </is>
      </c>
      <c r="B1" s="28" t="inlineStr">
        <is>
          <t>Year</t>
        </is>
      </c>
      <c r="C1" s="28" t="inlineStr">
        <is>
          <t>Revenue</t>
        </is>
      </c>
      <c r="D1" s="28" t="inlineStr">
        <is>
          <t>Units Sold</t>
        </is>
      </c>
      <c r="E1" s="28" t="inlineStr">
        <is>
          <t>Prior Year Revenue</t>
        </is>
      </c>
    </row>
    <row r="2" ht="15" customHeight="1" s="17">
      <c r="A2" s="21" t="inlineStr">
        <is>
          <t>Jan</t>
        </is>
      </c>
      <c r="B2" s="21" t="n">
        <v>2025</v>
      </c>
      <c r="C2" s="29" t="n">
        <v>74687</v>
      </c>
      <c r="D2" s="30" t="n">
        <v>1294</v>
      </c>
      <c r="E2" s="29" t="n">
        <v>64985</v>
      </c>
    </row>
    <row r="3" ht="15" customHeight="1" s="17">
      <c r="A3" s="21" t="inlineStr">
        <is>
          <t>Feb</t>
        </is>
      </c>
      <c r="B3" s="21" t="n">
        <v>2025</v>
      </c>
      <c r="C3" s="29" t="n">
        <v>77872</v>
      </c>
      <c r="D3" s="30" t="n">
        <v>1485</v>
      </c>
      <c r="E3" s="29" t="n">
        <v>70254</v>
      </c>
    </row>
    <row r="4" ht="15" customHeight="1" s="17">
      <c r="A4" s="21" t="inlineStr">
        <is>
          <t>Mar</t>
        </is>
      </c>
      <c r="B4" s="21" t="n">
        <v>2025</v>
      </c>
      <c r="C4" s="29" t="n">
        <v>86732</v>
      </c>
      <c r="D4" s="30" t="n">
        <v>1526</v>
      </c>
      <c r="E4" s="29" t="n">
        <v>81653</v>
      </c>
    </row>
    <row r="5" ht="15" customHeight="1" s="17">
      <c r="A5" s="21" t="inlineStr">
        <is>
          <t>Apr</t>
        </is>
      </c>
      <c r="B5" s="21" t="n">
        <v>2025</v>
      </c>
      <c r="C5" s="29" t="n">
        <v>74744</v>
      </c>
      <c r="D5" s="30" t="n">
        <v>1299</v>
      </c>
      <c r="E5" s="29" t="n">
        <v>67565</v>
      </c>
    </row>
    <row r="6" ht="15" customHeight="1" s="17">
      <c r="A6" s="21" t="inlineStr">
        <is>
          <t>May</t>
        </is>
      </c>
      <c r="B6" s="21" t="n">
        <v>2025</v>
      </c>
      <c r="C6" s="29" t="n">
        <v>90735</v>
      </c>
      <c r="D6" s="30" t="n">
        <v>2015</v>
      </c>
      <c r="E6" s="29" t="n">
        <v>81898</v>
      </c>
    </row>
    <row r="7" ht="15" customHeight="1" s="17">
      <c r="A7" s="21" t="inlineStr">
        <is>
          <t>Jun</t>
        </is>
      </c>
      <c r="B7" s="21" t="n">
        <v>2025</v>
      </c>
      <c r="C7" s="29" t="n">
        <v>99828</v>
      </c>
      <c r="D7" s="30" t="n">
        <v>2061</v>
      </c>
      <c r="E7" s="29" t="n">
        <v>85113</v>
      </c>
    </row>
    <row r="8" ht="15" customHeight="1" s="17">
      <c r="A8" s="21" t="inlineStr">
        <is>
          <t>Jul</t>
        </is>
      </c>
      <c r="B8" s="21" t="n">
        <v>2025</v>
      </c>
      <c r="C8" s="29" t="n">
        <v>104973</v>
      </c>
      <c r="D8" s="30" t="n">
        <v>2309</v>
      </c>
      <c r="E8" s="29" t="n">
        <v>99660</v>
      </c>
    </row>
    <row r="9" ht="15" customHeight="1" s="17">
      <c r="A9" s="21" t="inlineStr">
        <is>
          <t>Aug</t>
        </is>
      </c>
      <c r="B9" s="21" t="n">
        <v>2025</v>
      </c>
      <c r="C9" s="29" t="n">
        <v>88626</v>
      </c>
      <c r="D9" s="30" t="n">
        <v>1500</v>
      </c>
      <c r="E9" s="29" t="n">
        <v>80602</v>
      </c>
    </row>
    <row r="10" ht="15" customHeight="1" s="17">
      <c r="A10" s="21" t="inlineStr">
        <is>
          <t>Sep</t>
        </is>
      </c>
      <c r="B10" s="21" t="n">
        <v>2025</v>
      </c>
      <c r="C10" s="29" t="n">
        <v>82439</v>
      </c>
      <c r="D10" s="30" t="n">
        <v>1606</v>
      </c>
      <c r="E10" s="29" t="n">
        <v>78232</v>
      </c>
    </row>
    <row r="11" ht="15" customHeight="1" s="17">
      <c r="A11" s="21" t="inlineStr">
        <is>
          <t>Oct</t>
        </is>
      </c>
      <c r="B11" s="21" t="n">
        <v>2025</v>
      </c>
      <c r="C11" s="29" t="n">
        <v>83313</v>
      </c>
      <c r="D11" s="30" t="n">
        <v>1616</v>
      </c>
      <c r="E11" s="29" t="n">
        <v>74757</v>
      </c>
    </row>
    <row r="12" ht="15" customHeight="1" s="17">
      <c r="A12" s="21" t="inlineStr">
        <is>
          <t>Nov</t>
        </is>
      </c>
      <c r="B12" s="21" t="n">
        <v>2025</v>
      </c>
      <c r="C12" s="29" t="n">
        <v>109626</v>
      </c>
      <c r="D12" s="30" t="n">
        <v>2262</v>
      </c>
      <c r="E12" s="29" t="n">
        <v>101652</v>
      </c>
    </row>
    <row r="13" ht="15" customHeight="1" s="17">
      <c r="A13" s="21" t="inlineStr">
        <is>
          <t>Dec</t>
        </is>
      </c>
      <c r="B13" s="21" t="n">
        <v>2025</v>
      </c>
      <c r="C13" s="29" t="n">
        <v>117160</v>
      </c>
      <c r="D13" s="30" t="n">
        <v>2374</v>
      </c>
      <c r="E13" s="29" t="n">
        <v>111285</v>
      </c>
    </row>
    <row r="14" ht="15" customHeight="1" s="17">
      <c r="A14" s="21" t="inlineStr">
        <is>
          <t>Total</t>
        </is>
      </c>
      <c r="B14" s="21" t="n"/>
      <c r="C14" s="29">
        <f>SUM(C2:C13)</f>
        <v/>
      </c>
      <c r="D14" s="30">
        <f>SUM(D2:D13)</f>
        <v/>
      </c>
      <c r="E14" s="29">
        <f>SUM(E2:E13)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6" min="1" max="1"/>
    <col width="14" customWidth="1" style="16" min="2" max="2"/>
    <col width="12" customWidth="1" style="16" min="3" max="4"/>
    <col width="16" customWidth="1" style="16" min="5" max="5"/>
  </cols>
  <sheetData>
    <row r="1" ht="15" customHeight="1" s="17">
      <c r="A1" s="28" t="inlineStr">
        <is>
          <t>Region</t>
        </is>
      </c>
      <c r="B1" s="28" t="inlineStr">
        <is>
          <t>Revenue</t>
        </is>
      </c>
      <c r="C1" s="28" t="inlineStr">
        <is>
          <t>Units Sold</t>
        </is>
      </c>
      <c r="D1" s="28" t="inlineStr">
        <is>
          <t>Customers</t>
        </is>
      </c>
      <c r="E1" s="28" t="inlineStr">
        <is>
          <t>Avg Order Value</t>
        </is>
      </c>
    </row>
    <row r="2" ht="15" customHeight="1" s="17">
      <c r="A2" s="21" t="inlineStr">
        <is>
          <t>North</t>
        </is>
      </c>
      <c r="B2" s="29" t="n">
        <v>620000</v>
      </c>
      <c r="C2" s="30" t="n">
        <v>11200</v>
      </c>
      <c r="D2" s="21" t="n">
        <v>340</v>
      </c>
      <c r="E2" s="31">
        <f>B2/C2*1000</f>
        <v/>
      </c>
    </row>
    <row r="3" ht="15" customHeight="1" s="17">
      <c r="A3" s="21" t="inlineStr">
        <is>
          <t>South</t>
        </is>
      </c>
      <c r="B3" s="29" t="n">
        <v>780000</v>
      </c>
      <c r="C3" s="30" t="n">
        <v>14300</v>
      </c>
      <c r="D3" s="21" t="n">
        <v>410</v>
      </c>
      <c r="E3" s="31">
        <f>B3/C3*1000</f>
        <v/>
      </c>
    </row>
    <row r="4" ht="15" customHeight="1" s="17">
      <c r="A4" s="21" t="inlineStr">
        <is>
          <t>East</t>
        </is>
      </c>
      <c r="B4" s="29" t="n">
        <v>910000</v>
      </c>
      <c r="C4" s="30" t="n">
        <v>16800</v>
      </c>
      <c r="D4" s="21" t="n">
        <v>480</v>
      </c>
      <c r="E4" s="31">
        <f>B4/C4*1000</f>
        <v/>
      </c>
    </row>
    <row r="5" ht="15" customHeight="1" s="17">
      <c r="A5" s="21" t="inlineStr">
        <is>
          <t>West</t>
        </is>
      </c>
      <c r="B5" s="29" t="n">
        <v>1150000</v>
      </c>
      <c r="C5" s="30" t="n">
        <v>20500</v>
      </c>
      <c r="D5" s="21" t="n">
        <v>560</v>
      </c>
      <c r="E5" s="31">
        <f>B5/C5*1000</f>
        <v/>
      </c>
    </row>
    <row r="6" ht="15" customHeight="1" s="17">
      <c r="A6" s="21" t="inlineStr">
        <is>
          <t>Central</t>
        </is>
      </c>
      <c r="B6" s="29" t="n">
        <v>540000</v>
      </c>
      <c r="C6" s="30" t="n">
        <v>9800</v>
      </c>
      <c r="D6" s="21" t="n">
        <v>290</v>
      </c>
      <c r="E6" s="31">
        <f>B6/C6*1000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16" min="1" max="1"/>
    <col width="12" customWidth="1" style="16" min="2" max="2"/>
    <col width="14" customWidth="1" style="16" min="3" max="3"/>
    <col width="18" customWidth="1" style="16" min="4" max="4"/>
  </cols>
  <sheetData>
    <row r="1" ht="15" customHeight="1" s="17">
      <c r="A1" s="28" t="inlineStr">
        <is>
          <t>Product Category</t>
        </is>
      </c>
      <c r="B1" s="28" t="inlineStr">
        <is>
          <t>Units Sold</t>
        </is>
      </c>
      <c r="C1" s="28" t="inlineStr">
        <is>
          <t>Revenue</t>
        </is>
      </c>
      <c r="D1" s="28" t="inlineStr">
        <is>
          <t>% of Total Revenue</t>
        </is>
      </c>
    </row>
    <row r="2" ht="15" customHeight="1" s="17">
      <c r="A2" s="21" t="inlineStr">
        <is>
          <t>Electronics</t>
        </is>
      </c>
      <c r="B2" s="30" t="n">
        <v>18500</v>
      </c>
      <c r="C2" s="29" t="n">
        <v>1480000</v>
      </c>
      <c r="D2" s="32">
        <f>C2/SUM($C$2:$C$8)</f>
        <v/>
      </c>
    </row>
    <row r="3" ht="15" customHeight="1" s="17">
      <c r="A3" s="21" t="inlineStr">
        <is>
          <t>Home &amp; Kitchen</t>
        </is>
      </c>
      <c r="B3" s="30" t="n">
        <v>14200</v>
      </c>
      <c r="C3" s="29" t="n">
        <v>710000</v>
      </c>
      <c r="D3" s="32">
        <f>C3/SUM($C$2:$C$8)</f>
        <v/>
      </c>
    </row>
    <row r="4" ht="15" customHeight="1" s="17">
      <c r="A4" s="21" t="inlineStr">
        <is>
          <t>Apparel</t>
        </is>
      </c>
      <c r="B4" s="30" t="n">
        <v>21000</v>
      </c>
      <c r="C4" s="29" t="n">
        <v>630000</v>
      </c>
      <c r="D4" s="32">
        <f>C4/SUM($C$2:$C$8)</f>
        <v/>
      </c>
    </row>
    <row r="5" ht="15" customHeight="1" s="17">
      <c r="A5" s="21" t="inlineStr">
        <is>
          <t>Sporting Goods</t>
        </is>
      </c>
      <c r="B5" s="30" t="n">
        <v>9800</v>
      </c>
      <c r="C5" s="29" t="n">
        <v>490000</v>
      </c>
      <c r="D5" s="32">
        <f>C5/SUM($C$2:$C$8)</f>
        <v/>
      </c>
    </row>
    <row r="6" ht="15" customHeight="1" s="17">
      <c r="A6" s="21" t="inlineStr">
        <is>
          <t>Beauty</t>
        </is>
      </c>
      <c r="B6" s="30" t="n">
        <v>12300</v>
      </c>
      <c r="C6" s="29" t="n">
        <v>369000</v>
      </c>
      <c r="D6" s="32">
        <f>C6/SUM($C$2:$C$8)</f>
        <v/>
      </c>
    </row>
    <row r="7" ht="15" customHeight="1" s="17">
      <c r="A7" s="21" t="inlineStr">
        <is>
          <t>Toys</t>
        </is>
      </c>
      <c r="B7" s="30" t="n">
        <v>8600</v>
      </c>
      <c r="C7" s="29" t="n">
        <v>258000</v>
      </c>
      <c r="D7" s="32">
        <f>C7/SUM($C$2:$C$8)</f>
        <v/>
      </c>
    </row>
    <row r="8" ht="15" customHeight="1" s="17">
      <c r="A8" s="21" t="inlineStr">
        <is>
          <t>Office Supplies</t>
        </is>
      </c>
      <c r="B8" s="30" t="n">
        <v>6400</v>
      </c>
      <c r="C8" s="29" t="n">
        <v>192000</v>
      </c>
      <c r="D8" s="32">
        <f>C8/SUM($C$2:$C$8)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2026-06-30T03:34:03Z</dcterms:created>
  <dcterms:modified xmlns:dcterms="http://purl.org/dc/terms/" xmlns:xsi="http://www.w3.org/2001/XMLSchema-instance" xsi:type="dcterms:W3CDTF">2026-06-30T03:44:52Z</dcterms:modified>
  <cp:revision>1</cp:revision>
</cp:coreProperties>
</file>