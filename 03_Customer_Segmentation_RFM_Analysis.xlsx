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ustomer Data" sheetId="2" state="visible" r:id="rId2"/>
    <sheet xmlns:r="http://schemas.openxmlformats.org/officeDocument/2006/relationships" name="Segment 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\$#,##0"/>
    <numFmt numFmtId="166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sz val="12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Customer Count by Segment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'Segment Summary'!B1</f>
              <strCache>
                <ptCount val="1"/>
                <pt idx="0">
                  <v>Customer 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7964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5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'Segment Summary'!$A$2:$A$7</f>
              <strCache>
                <ptCount val="6"/>
                <pt idx="0">
                  <v>Champions</v>
                </pt>
                <pt idx="1">
                  <v>Loyal Customers</v>
                </pt>
                <pt idx="2">
                  <v>Potential Loyalist</v>
                </pt>
                <pt idx="3">
                  <v>New Customers</v>
                </pt>
                <pt idx="4">
                  <v>At Risk</v>
                </pt>
                <pt idx="5">
                  <v>Lost</v>
                </pt>
              </strCache>
            </strRef>
          </cat>
          <val>
            <numRef>
              <f>'Segment Summary'!$B$2:$B$7</f>
              <numCache>
                <formatCode>General</formatCode>
                <ptCount val="6"/>
                <pt idx="0">
                  <v>10</v>
                </pt>
                <pt idx="1">
                  <v>17</v>
                </pt>
                <pt idx="2">
                  <v>11</v>
                </pt>
                <pt idx="3">
                  <v>5</v>
                </pt>
                <pt idx="4">
                  <v>14</v>
                </pt>
                <pt idx="5">
                  <v>3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Revenue by Segment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'Segment Summary'!C1</f>
              <strCache>
                <ptCount val="1"/>
                <pt idx="0">
                  <v>Total Revenue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'Segment Summary'!$A$2:$A$7</f>
              <strCache>
                <ptCount val="6"/>
                <pt idx="0">
                  <v>Champions</v>
                </pt>
                <pt idx="1">
                  <v>Loyal Customers</v>
                </pt>
                <pt idx="2">
                  <v>Potential Loyalist</v>
                </pt>
                <pt idx="3">
                  <v>New Customers</v>
                </pt>
                <pt idx="4">
                  <v>At Risk</v>
                </pt>
                <pt idx="5">
                  <v>Lost</v>
                </pt>
              </strCache>
            </strRef>
          </cat>
          <val>
            <numRef>
              <f>'Segment Summary'!$C$2:$C$7</f>
              <numCache>
                <formatCode>\$#,##0</formatCode>
                <ptCount val="6"/>
                <pt idx="0">
                  <v>18171.15</v>
                </pt>
                <pt idx="1">
                  <v>21706.88</v>
                </pt>
                <pt idx="2">
                  <v>2711.7</v>
                </pt>
                <pt idx="3">
                  <v>1148.61</v>
                </pt>
                <pt idx="4">
                  <v>7135.38</v>
                </pt>
                <pt idx="5">
                  <v>436.74</v>
                </pt>
              </numCache>
            </numRef>
          </val>
        </ser>
        <gapWidth val="150"/>
        <overlap val="0"/>
        <axId val="4411009"/>
        <axId val="82949819"/>
      </barChart>
      <catAx>
        <axId val="441100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2949819"/>
        <crosses val="autoZero"/>
        <auto val="1"/>
        <lblAlgn val="ctr"/>
        <lblOffset val="100"/>
        <noMultiLvlLbl val="0"/>
      </catAx>
      <valAx>
        <axId val="8294981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41100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 editAs="oneCell">
    <from>
      <col>6</col>
      <colOff>0</colOff>
      <row>1</row>
      <rowOff>0</rowOff>
    </from>
    <to>
      <col>15</col>
      <colOff>255960</colOff>
      <row>21</row>
      <rowOff>149400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6</col>
      <colOff>0</colOff>
      <row>19</row>
      <rowOff>0</rowOff>
    </from>
    <to>
      <col>15</col>
      <colOff>255960</colOff>
      <row>39</row>
      <rowOff>149400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1" min="1" max="1"/>
    <col width="20" customWidth="1" style="11" min="2" max="2"/>
  </cols>
  <sheetData>
    <row r="1"/>
    <row r="2" ht="19.7" customHeight="1" s="12">
      <c r="B2" s="13" t="inlineStr">
        <is>
          <t>Customer Segmentation Analysis (RFM) | a multinational retail group</t>
        </is>
      </c>
    </row>
    <row r="3" ht="15" customHeight="1" s="12">
      <c r="B3" s="14" t="inlineStr">
        <is>
          <t>Prepared by the Customer Insights &amp; Analytics Team — the parent holding group</t>
        </is>
      </c>
    </row>
    <row r="4"/>
    <row r="5" ht="15" customHeight="1" s="12">
      <c r="B5" s="15" t="inlineStr">
        <is>
          <t>Methodology</t>
        </is>
      </c>
    </row>
    <row r="6" ht="39.75" customHeight="1" s="12">
      <c r="B6" s="16" t="inlineStr">
        <is>
          <t>Customers are scored 1-5 on Recency (days since last purchase, lower=better), Frequency (number of orders), and Monetary value (total spend). Scores combine into segments such as Champions, Loyal, At Risk, and Lost.</t>
        </is>
      </c>
    </row>
    <row r="7"/>
    <row r="8"/>
    <row r="9" ht="15" customHeight="1" s="12">
      <c r="B9" s="15" t="inlineStr">
        <is>
          <t>Key Findings</t>
        </is>
      </c>
    </row>
    <row r="10" ht="15" customHeight="1" s="12">
      <c r="B10" s="17" t="inlineStr">
        <is>
          <t>1. 'Champions' represent the smallest customer count but the largest share of revenue.</t>
        </is>
      </c>
    </row>
    <row r="11" ht="15" customHeight="1" s="12">
      <c r="B11" s="17" t="inlineStr">
        <is>
          <t>2. A significant 'At Risk' segment has high past spend but no recent purchases — priority for win-back campaigns.</t>
        </is>
      </c>
    </row>
    <row r="12" ht="15" customHeight="1" s="12">
      <c r="B12" s="17" t="inlineStr">
        <is>
          <t>3. 'New Customers' should be nurtured with onboarding offers to drive repeat purchase frequency.</t>
        </is>
      </c>
    </row>
    <row r="13" ht="15" customHeight="1" s="12">
      <c r="B13" s="17" t="inlineStr">
        <is>
          <t>4. 'Lost' customers show low recency, frequency, and monetary scores — low ROI for reactivation.</t>
        </is>
      </c>
    </row>
    <row r="14" ht="15" customHeight="1" s="12">
      <c r="B14" s="17" t="inlineStr">
        <is>
          <t>5. Loyalty correlates strongly with order frequency rather than order size.</t>
        </is>
      </c>
    </row>
  </sheetData>
  <mergeCells count="1">
    <mergeCell ref="B6:H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1" min="1" max="1"/>
    <col width="16" customWidth="1" style="11" min="2" max="2"/>
    <col width="14" customWidth="1" style="11" min="3" max="3"/>
    <col width="16" customWidth="1" style="11" min="4" max="4"/>
    <col width="12" customWidth="1" style="11" min="5" max="5"/>
    <col width="9" customWidth="1" style="11" min="6" max="8"/>
    <col width="10" customWidth="1" style="11" min="9" max="9"/>
    <col width="18" customWidth="1" style="11" min="10" max="10"/>
  </cols>
  <sheetData>
    <row r="1" ht="15" customHeight="1" s="12">
      <c r="A1" s="18" t="inlineStr">
        <is>
          <t>Customer ID</t>
        </is>
      </c>
      <c r="B1" s="18" t="inlineStr">
        <is>
          <t>Customer Name</t>
        </is>
      </c>
      <c r="C1" s="18" t="inlineStr">
        <is>
          <t>Recency (days)</t>
        </is>
      </c>
      <c r="D1" s="18" t="inlineStr">
        <is>
          <t>Frequency (orders)</t>
        </is>
      </c>
      <c r="E1" s="18" t="inlineStr">
        <is>
          <t>Monetary ($)</t>
        </is>
      </c>
      <c r="F1" s="18" t="inlineStr">
        <is>
          <t>R Score</t>
        </is>
      </c>
      <c r="G1" s="18" t="inlineStr">
        <is>
          <t>F Score</t>
        </is>
      </c>
      <c r="H1" s="18" t="inlineStr">
        <is>
          <t>M Score</t>
        </is>
      </c>
      <c r="I1" s="18" t="inlineStr">
        <is>
          <t>RFM Total</t>
        </is>
      </c>
      <c r="J1" s="18" t="inlineStr">
        <is>
          <t>Segment</t>
        </is>
      </c>
    </row>
    <row r="2" ht="15" customHeight="1" s="12">
      <c r="A2" s="19" t="inlineStr">
        <is>
          <t>C1000</t>
        </is>
      </c>
      <c r="B2" s="19" t="inlineStr">
        <is>
          <t>Customer 001</t>
        </is>
      </c>
      <c r="C2" s="19" t="n">
        <v>50</v>
      </c>
      <c r="D2" s="19" t="n">
        <v>3</v>
      </c>
      <c r="E2" s="20" t="n">
        <v>333.2</v>
      </c>
      <c r="F2" s="19">
        <f>IF(C2&lt;=10,5,IF(C2&lt;=30,4,IF(C2&lt;=60,3,IF(C2&lt;=120,2,1))))</f>
        <v/>
      </c>
      <c r="G2" s="19">
        <f>IF(D2&gt;=10,5,IF(D2&gt;=7,4,IF(D2&gt;=4,3,IF(D2&gt;=2,2,1))))</f>
        <v/>
      </c>
      <c r="H2" s="19">
        <f>IF(E2&gt;=1000,5,IF(E2&gt;=600,4,IF(E2&gt;=300,3,IF(E2&gt;=100,2,1))))</f>
        <v/>
      </c>
      <c r="I2" s="19">
        <f>F2+G2+H2</f>
        <v/>
      </c>
      <c r="J2" s="19">
        <f>IF(I2&gt;=13,"Champions",IF(I2&gt;=10,"Loyal Customers",IF(AND(F2&lt;=2,H2&gt;=3),"At Risk",IF(I2&gt;=7,"Potential Loyalist",IF(I2&lt;=5,"Lost","New Customers")))))</f>
        <v/>
      </c>
    </row>
    <row r="3" ht="15" customHeight="1" s="12">
      <c r="A3" s="19" t="inlineStr">
        <is>
          <t>C1001</t>
        </is>
      </c>
      <c r="B3" s="19" t="inlineStr">
        <is>
          <t>Customer 002</t>
        </is>
      </c>
      <c r="C3" s="19" t="n">
        <v>3</v>
      </c>
      <c r="D3" s="19" t="n">
        <v>2</v>
      </c>
      <c r="E3" s="20" t="n">
        <v>375.66</v>
      </c>
      <c r="F3" s="19">
        <f>IF(C3&lt;=10,5,IF(C3&lt;=30,4,IF(C3&lt;=60,3,IF(C3&lt;=120,2,1))))</f>
        <v/>
      </c>
      <c r="G3" s="19">
        <f>IF(D3&gt;=10,5,IF(D3&gt;=7,4,IF(D3&gt;=4,3,IF(D3&gt;=2,2,1))))</f>
        <v/>
      </c>
      <c r="H3" s="19">
        <f>IF(E3&gt;=1000,5,IF(E3&gt;=600,4,IF(E3&gt;=300,3,IF(E3&gt;=100,2,1))))</f>
        <v/>
      </c>
      <c r="I3" s="19">
        <f>F3+G3+H3</f>
        <v/>
      </c>
      <c r="J3" s="19">
        <f>IF(I3&gt;=13,"Champions",IF(I3&gt;=10,"Loyal Customers",IF(AND(F3&lt;=2,H3&gt;=3),"At Risk",IF(I3&gt;=7,"Potential Loyalist",IF(I3&lt;=5,"Lost","New Customers")))))</f>
        <v/>
      </c>
    </row>
    <row r="4" ht="15" customHeight="1" s="12">
      <c r="A4" s="19" t="inlineStr">
        <is>
          <t>C1002</t>
        </is>
      </c>
      <c r="B4" s="19" t="inlineStr">
        <is>
          <t>Customer 003</t>
        </is>
      </c>
      <c r="C4" s="19" t="n">
        <v>8</v>
      </c>
      <c r="D4" s="19" t="n">
        <v>6</v>
      </c>
      <c r="E4" s="20" t="n">
        <v>869.41</v>
      </c>
      <c r="F4" s="19">
        <f>IF(C4&lt;=10,5,IF(C4&lt;=30,4,IF(C4&lt;=60,3,IF(C4&lt;=120,2,1))))</f>
        <v/>
      </c>
      <c r="G4" s="19">
        <f>IF(D4&gt;=10,5,IF(D4&gt;=7,4,IF(D4&gt;=4,3,IF(D4&gt;=2,2,1))))</f>
        <v/>
      </c>
      <c r="H4" s="19">
        <f>IF(E4&gt;=1000,5,IF(E4&gt;=600,4,IF(E4&gt;=300,3,IF(E4&gt;=100,2,1))))</f>
        <v/>
      </c>
      <c r="I4" s="19">
        <f>F4+G4+H4</f>
        <v/>
      </c>
      <c r="J4" s="19">
        <f>IF(I4&gt;=13,"Champions",IF(I4&gt;=10,"Loyal Customers",IF(AND(F4&lt;=2,H4&gt;=3),"At Risk",IF(I4&gt;=7,"Potential Loyalist",IF(I4&lt;=5,"Lost","New Customers")))))</f>
        <v/>
      </c>
    </row>
    <row r="5" ht="15" customHeight="1" s="12">
      <c r="A5" s="19" t="inlineStr">
        <is>
          <t>C1003</t>
        </is>
      </c>
      <c r="B5" s="19" t="inlineStr">
        <is>
          <t>Customer 004</t>
        </is>
      </c>
      <c r="C5" s="19" t="n">
        <v>120</v>
      </c>
      <c r="D5" s="19" t="n">
        <v>4</v>
      </c>
      <c r="E5" s="20" t="n">
        <v>187</v>
      </c>
      <c r="F5" s="19">
        <f>IF(C5&lt;=10,5,IF(C5&lt;=30,4,IF(C5&lt;=60,3,IF(C5&lt;=120,2,1))))</f>
        <v/>
      </c>
      <c r="G5" s="19">
        <f>IF(D5&gt;=10,5,IF(D5&gt;=7,4,IF(D5&gt;=4,3,IF(D5&gt;=2,2,1))))</f>
        <v/>
      </c>
      <c r="H5" s="19">
        <f>IF(E5&gt;=1000,5,IF(E5&gt;=600,4,IF(E5&gt;=300,3,IF(E5&gt;=100,2,1))))</f>
        <v/>
      </c>
      <c r="I5" s="19">
        <f>F5+G5+H5</f>
        <v/>
      </c>
      <c r="J5" s="19">
        <f>IF(I5&gt;=13,"Champions",IF(I5&gt;=10,"Loyal Customers",IF(AND(F5&lt;=2,H5&gt;=3),"At Risk",IF(I5&gt;=7,"Potential Loyalist",IF(I5&lt;=5,"Lost","New Customers")))))</f>
        <v/>
      </c>
    </row>
    <row r="6" ht="15" customHeight="1" s="12">
      <c r="A6" s="19" t="inlineStr">
        <is>
          <t>C1004</t>
        </is>
      </c>
      <c r="B6" s="19" t="inlineStr">
        <is>
          <t>Customer 005</t>
        </is>
      </c>
      <c r="C6" s="19" t="n">
        <v>70</v>
      </c>
      <c r="D6" s="19" t="n">
        <v>8</v>
      </c>
      <c r="E6" s="20" t="n">
        <v>420.59</v>
      </c>
      <c r="F6" s="19">
        <f>IF(C6&lt;=10,5,IF(C6&lt;=30,4,IF(C6&lt;=60,3,IF(C6&lt;=120,2,1))))</f>
        <v/>
      </c>
      <c r="G6" s="19">
        <f>IF(D6&gt;=10,5,IF(D6&gt;=7,4,IF(D6&gt;=4,3,IF(D6&gt;=2,2,1))))</f>
        <v/>
      </c>
      <c r="H6" s="19">
        <f>IF(E6&gt;=1000,5,IF(E6&gt;=600,4,IF(E6&gt;=300,3,IF(E6&gt;=100,2,1))))</f>
        <v/>
      </c>
      <c r="I6" s="19">
        <f>F6+G6+H6</f>
        <v/>
      </c>
      <c r="J6" s="19">
        <f>IF(I6&gt;=13,"Champions",IF(I6&gt;=10,"Loyal Customers",IF(AND(F6&lt;=2,H6&gt;=3),"At Risk",IF(I6&gt;=7,"Potential Loyalist",IF(I6&lt;=5,"Lost","New Customers")))))</f>
        <v/>
      </c>
    </row>
    <row r="7" ht="15" customHeight="1" s="12">
      <c r="A7" s="19" t="inlineStr">
        <is>
          <t>C1005</t>
        </is>
      </c>
      <c r="B7" s="19" t="inlineStr">
        <is>
          <t>Customer 006</t>
        </is>
      </c>
      <c r="C7" s="19" t="n">
        <v>8</v>
      </c>
      <c r="D7" s="19" t="n">
        <v>12</v>
      </c>
      <c r="E7" s="20" t="n">
        <v>1396.96</v>
      </c>
      <c r="F7" s="19">
        <f>IF(C7&lt;=10,5,IF(C7&lt;=30,4,IF(C7&lt;=60,3,IF(C7&lt;=120,2,1))))</f>
        <v/>
      </c>
      <c r="G7" s="19">
        <f>IF(D7&gt;=10,5,IF(D7&gt;=7,4,IF(D7&gt;=4,3,IF(D7&gt;=2,2,1))))</f>
        <v/>
      </c>
      <c r="H7" s="19">
        <f>IF(E7&gt;=1000,5,IF(E7&gt;=600,4,IF(E7&gt;=300,3,IF(E7&gt;=100,2,1))))</f>
        <v/>
      </c>
      <c r="I7" s="19">
        <f>F7+G7+H7</f>
        <v/>
      </c>
      <c r="J7" s="19">
        <f>IF(I7&gt;=13,"Champions",IF(I7&gt;=10,"Loyal Customers",IF(AND(F7&lt;=2,H7&gt;=3),"At Risk",IF(I7&gt;=7,"Potential Loyalist",IF(I7&lt;=5,"Lost","New Customers")))))</f>
        <v/>
      </c>
    </row>
    <row r="8" ht="15" customHeight="1" s="12">
      <c r="A8" s="19" t="inlineStr">
        <is>
          <t>C1006</t>
        </is>
      </c>
      <c r="B8" s="19" t="inlineStr">
        <is>
          <t>Customer 007</t>
        </is>
      </c>
      <c r="C8" s="19" t="n">
        <v>180</v>
      </c>
      <c r="D8" s="19" t="n">
        <v>2</v>
      </c>
      <c r="E8" s="20" t="n">
        <v>421.08</v>
      </c>
      <c r="F8" s="19">
        <f>IF(C8&lt;=10,5,IF(C8&lt;=30,4,IF(C8&lt;=60,3,IF(C8&lt;=120,2,1))))</f>
        <v/>
      </c>
      <c r="G8" s="19">
        <f>IF(D8&gt;=10,5,IF(D8&gt;=7,4,IF(D8&gt;=4,3,IF(D8&gt;=2,2,1))))</f>
        <v/>
      </c>
      <c r="H8" s="19">
        <f>IF(E8&gt;=1000,5,IF(E8&gt;=600,4,IF(E8&gt;=300,3,IF(E8&gt;=100,2,1))))</f>
        <v/>
      </c>
      <c r="I8" s="19">
        <f>F8+G8+H8</f>
        <v/>
      </c>
      <c r="J8" s="19">
        <f>IF(I8&gt;=13,"Champions",IF(I8&gt;=10,"Loyal Customers",IF(AND(F8&lt;=2,H8&gt;=3),"At Risk",IF(I8&gt;=7,"Potential Loyalist",IF(I8&lt;=5,"Lost","New Customers")))))</f>
        <v/>
      </c>
    </row>
    <row r="9" ht="15" customHeight="1" s="12">
      <c r="A9" s="19" t="inlineStr">
        <is>
          <t>C1007</t>
        </is>
      </c>
      <c r="B9" s="19" t="inlineStr">
        <is>
          <t>Customer 008</t>
        </is>
      </c>
      <c r="C9" s="19" t="n">
        <v>240</v>
      </c>
      <c r="D9" s="19" t="n">
        <v>15</v>
      </c>
      <c r="E9" s="20" t="n">
        <v>3158.81</v>
      </c>
      <c r="F9" s="19">
        <f>IF(C9&lt;=10,5,IF(C9&lt;=30,4,IF(C9&lt;=60,3,IF(C9&lt;=120,2,1))))</f>
        <v/>
      </c>
      <c r="G9" s="19">
        <f>IF(D9&gt;=10,5,IF(D9&gt;=7,4,IF(D9&gt;=4,3,IF(D9&gt;=2,2,1))))</f>
        <v/>
      </c>
      <c r="H9" s="19">
        <f>IF(E9&gt;=1000,5,IF(E9&gt;=600,4,IF(E9&gt;=300,3,IF(E9&gt;=100,2,1))))</f>
        <v/>
      </c>
      <c r="I9" s="19">
        <f>F9+G9+H9</f>
        <v/>
      </c>
      <c r="J9" s="19">
        <f>IF(I9&gt;=13,"Champions",IF(I9&gt;=10,"Loyal Customers",IF(AND(F9&lt;=2,H9&gt;=3),"At Risk",IF(I9&gt;=7,"Potential Loyalist",IF(I9&lt;=5,"Lost","New Customers")))))</f>
        <v/>
      </c>
    </row>
    <row r="10" ht="15" customHeight="1" s="12">
      <c r="A10" s="19" t="inlineStr">
        <is>
          <t>C1008</t>
        </is>
      </c>
      <c r="B10" s="19" t="inlineStr">
        <is>
          <t>Customer 009</t>
        </is>
      </c>
      <c r="C10" s="19" t="n">
        <v>180</v>
      </c>
      <c r="D10" s="19" t="n">
        <v>15</v>
      </c>
      <c r="E10" s="20" t="n">
        <v>1671.04</v>
      </c>
      <c r="F10" s="19">
        <f>IF(C10&lt;=10,5,IF(C10&lt;=30,4,IF(C10&lt;=60,3,IF(C10&lt;=120,2,1))))</f>
        <v/>
      </c>
      <c r="G10" s="19">
        <f>IF(D10&gt;=10,5,IF(D10&gt;=7,4,IF(D10&gt;=4,3,IF(D10&gt;=2,2,1))))</f>
        <v/>
      </c>
      <c r="H10" s="19">
        <f>IF(E10&gt;=1000,5,IF(E10&gt;=600,4,IF(E10&gt;=300,3,IF(E10&gt;=100,2,1))))</f>
        <v/>
      </c>
      <c r="I10" s="19">
        <f>F10+G10+H10</f>
        <v/>
      </c>
      <c r="J10" s="19">
        <f>IF(I10&gt;=13,"Champions",IF(I10&gt;=10,"Loyal Customers",IF(AND(F10&lt;=2,H10&gt;=3),"At Risk",IF(I10&gt;=7,"Potential Loyalist",IF(I10&lt;=5,"Lost","New Customers")))))</f>
        <v/>
      </c>
    </row>
    <row r="11" ht="15" customHeight="1" s="12">
      <c r="A11" s="19" t="inlineStr">
        <is>
          <t>C1009</t>
        </is>
      </c>
      <c r="B11" s="19" t="inlineStr">
        <is>
          <t>Customer 010</t>
        </is>
      </c>
      <c r="C11" s="19" t="n">
        <v>20</v>
      </c>
      <c r="D11" s="19" t="n">
        <v>1</v>
      </c>
      <c r="E11" s="20" t="n">
        <v>140.2</v>
      </c>
      <c r="F11" s="19">
        <f>IF(C11&lt;=10,5,IF(C11&lt;=30,4,IF(C11&lt;=60,3,IF(C11&lt;=120,2,1))))</f>
        <v/>
      </c>
      <c r="G11" s="19">
        <f>IF(D11&gt;=10,5,IF(D11&gt;=7,4,IF(D11&gt;=4,3,IF(D11&gt;=2,2,1))))</f>
        <v/>
      </c>
      <c r="H11" s="19">
        <f>IF(E11&gt;=1000,5,IF(E11&gt;=600,4,IF(E11&gt;=300,3,IF(E11&gt;=100,2,1))))</f>
        <v/>
      </c>
      <c r="I11" s="19">
        <f>F11+G11+H11</f>
        <v/>
      </c>
      <c r="J11" s="19">
        <f>IF(I11&gt;=13,"Champions",IF(I11&gt;=10,"Loyal Customers",IF(AND(F11&lt;=2,H11&gt;=3),"At Risk",IF(I11&gt;=7,"Potential Loyalist",IF(I11&lt;=5,"Lost","New Customers")))))</f>
        <v/>
      </c>
    </row>
    <row r="12" ht="15" customHeight="1" s="12">
      <c r="A12" s="19" t="inlineStr">
        <is>
          <t>C1010</t>
        </is>
      </c>
      <c r="B12" s="19" t="inlineStr">
        <is>
          <t>Customer 011</t>
        </is>
      </c>
      <c r="C12" s="19" t="n">
        <v>15</v>
      </c>
      <c r="D12" s="19" t="n">
        <v>5</v>
      </c>
      <c r="E12" s="20" t="n">
        <v>577.23</v>
      </c>
      <c r="F12" s="19">
        <f>IF(C12&lt;=10,5,IF(C12&lt;=30,4,IF(C12&lt;=60,3,IF(C12&lt;=120,2,1))))</f>
        <v/>
      </c>
      <c r="G12" s="19">
        <f>IF(D12&gt;=10,5,IF(D12&gt;=7,4,IF(D12&gt;=4,3,IF(D12&gt;=2,2,1))))</f>
        <v/>
      </c>
      <c r="H12" s="19">
        <f>IF(E12&gt;=1000,5,IF(E12&gt;=600,4,IF(E12&gt;=300,3,IF(E12&gt;=100,2,1))))</f>
        <v/>
      </c>
      <c r="I12" s="19">
        <f>F12+G12+H12</f>
        <v/>
      </c>
      <c r="J12" s="19">
        <f>IF(I12&gt;=13,"Champions",IF(I12&gt;=10,"Loyal Customers",IF(AND(F12&lt;=2,H12&gt;=3),"At Risk",IF(I12&gt;=7,"Potential Loyalist",IF(I12&lt;=5,"Lost","New Customers")))))</f>
        <v/>
      </c>
    </row>
    <row r="13" ht="15" customHeight="1" s="12">
      <c r="A13" s="19" t="inlineStr">
        <is>
          <t>C1011</t>
        </is>
      </c>
      <c r="B13" s="19" t="inlineStr">
        <is>
          <t>Customer 012</t>
        </is>
      </c>
      <c r="C13" s="19" t="n">
        <v>120</v>
      </c>
      <c r="D13" s="19" t="n">
        <v>2</v>
      </c>
      <c r="E13" s="20" t="n">
        <v>285.53</v>
      </c>
      <c r="F13" s="19">
        <f>IF(C13&lt;=10,5,IF(C13&lt;=30,4,IF(C13&lt;=60,3,IF(C13&lt;=120,2,1))))</f>
        <v/>
      </c>
      <c r="G13" s="19">
        <f>IF(D13&gt;=10,5,IF(D13&gt;=7,4,IF(D13&gt;=4,3,IF(D13&gt;=2,2,1))))</f>
        <v/>
      </c>
      <c r="H13" s="19">
        <f>IF(E13&gt;=1000,5,IF(E13&gt;=600,4,IF(E13&gt;=300,3,IF(E13&gt;=100,2,1))))</f>
        <v/>
      </c>
      <c r="I13" s="19">
        <f>F13+G13+H13</f>
        <v/>
      </c>
      <c r="J13" s="19">
        <f>IF(I13&gt;=13,"Champions",IF(I13&gt;=10,"Loyal Customers",IF(AND(F13&lt;=2,H13&gt;=3),"At Risk",IF(I13&gt;=7,"Potential Loyalist",IF(I13&lt;=5,"Lost","New Customers")))))</f>
        <v/>
      </c>
    </row>
    <row r="14" ht="15" customHeight="1" s="12">
      <c r="A14" s="19" t="inlineStr">
        <is>
          <t>C1012</t>
        </is>
      </c>
      <c r="B14" s="19" t="inlineStr">
        <is>
          <t>Customer 013</t>
        </is>
      </c>
      <c r="C14" s="19" t="n">
        <v>120</v>
      </c>
      <c r="D14" s="19" t="n">
        <v>3</v>
      </c>
      <c r="E14" s="20" t="n">
        <v>175.65</v>
      </c>
      <c r="F14" s="19">
        <f>IF(C14&lt;=10,5,IF(C14&lt;=30,4,IF(C14&lt;=60,3,IF(C14&lt;=120,2,1))))</f>
        <v/>
      </c>
      <c r="G14" s="19">
        <f>IF(D14&gt;=10,5,IF(D14&gt;=7,4,IF(D14&gt;=4,3,IF(D14&gt;=2,2,1))))</f>
        <v/>
      </c>
      <c r="H14" s="19">
        <f>IF(E14&gt;=1000,5,IF(E14&gt;=600,4,IF(E14&gt;=300,3,IF(E14&gt;=100,2,1))))</f>
        <v/>
      </c>
      <c r="I14" s="19">
        <f>F14+G14+H14</f>
        <v/>
      </c>
      <c r="J14" s="19">
        <f>IF(I14&gt;=13,"Champions",IF(I14&gt;=10,"Loyal Customers",IF(AND(F14&lt;=2,H14&gt;=3),"At Risk",IF(I14&gt;=7,"Potential Loyalist",IF(I14&lt;=5,"Lost","New Customers")))))</f>
        <v/>
      </c>
    </row>
    <row r="15" ht="15" customHeight="1" s="12">
      <c r="A15" s="19" t="inlineStr">
        <is>
          <t>C1013</t>
        </is>
      </c>
      <c r="B15" s="19" t="inlineStr">
        <is>
          <t>Customer 014</t>
        </is>
      </c>
      <c r="C15" s="19" t="n">
        <v>180</v>
      </c>
      <c r="D15" s="19" t="n">
        <v>4</v>
      </c>
      <c r="E15" s="20" t="n">
        <v>428.13</v>
      </c>
      <c r="F15" s="19">
        <f>IF(C15&lt;=10,5,IF(C15&lt;=30,4,IF(C15&lt;=60,3,IF(C15&lt;=120,2,1))))</f>
        <v/>
      </c>
      <c r="G15" s="19">
        <f>IF(D15&gt;=10,5,IF(D15&gt;=7,4,IF(D15&gt;=4,3,IF(D15&gt;=2,2,1))))</f>
        <v/>
      </c>
      <c r="H15" s="19">
        <f>IF(E15&gt;=1000,5,IF(E15&gt;=600,4,IF(E15&gt;=300,3,IF(E15&gt;=100,2,1))))</f>
        <v/>
      </c>
      <c r="I15" s="19">
        <f>F15+G15+H15</f>
        <v/>
      </c>
      <c r="J15" s="19">
        <f>IF(I15&gt;=13,"Champions",IF(I15&gt;=10,"Loyal Customers",IF(AND(F15&lt;=2,H15&gt;=3),"At Risk",IF(I15&gt;=7,"Potential Loyalist",IF(I15&lt;=5,"Lost","New Customers")))))</f>
        <v/>
      </c>
    </row>
    <row r="16" ht="15" customHeight="1" s="12">
      <c r="A16" s="19" t="inlineStr">
        <is>
          <t>C1014</t>
        </is>
      </c>
      <c r="B16" s="19" t="inlineStr">
        <is>
          <t>Customer 015</t>
        </is>
      </c>
      <c r="C16" s="19" t="n">
        <v>120</v>
      </c>
      <c r="D16" s="19" t="n">
        <v>2</v>
      </c>
      <c r="E16" s="20" t="n">
        <v>283.17</v>
      </c>
      <c r="F16" s="19">
        <f>IF(C16&lt;=10,5,IF(C16&lt;=30,4,IF(C16&lt;=60,3,IF(C16&lt;=120,2,1))))</f>
        <v/>
      </c>
      <c r="G16" s="19">
        <f>IF(D16&gt;=10,5,IF(D16&gt;=7,4,IF(D16&gt;=4,3,IF(D16&gt;=2,2,1))))</f>
        <v/>
      </c>
      <c r="H16" s="19">
        <f>IF(E16&gt;=1000,5,IF(E16&gt;=600,4,IF(E16&gt;=300,3,IF(E16&gt;=100,2,1))))</f>
        <v/>
      </c>
      <c r="I16" s="19">
        <f>F16+G16+H16</f>
        <v/>
      </c>
      <c r="J16" s="19">
        <f>IF(I16&gt;=13,"Champions",IF(I16&gt;=10,"Loyal Customers",IF(AND(F16&lt;=2,H16&gt;=3),"At Risk",IF(I16&gt;=7,"Potential Loyalist",IF(I16&lt;=5,"Lost","New Customers")))))</f>
        <v/>
      </c>
    </row>
    <row r="17" ht="15" customHeight="1" s="12">
      <c r="A17" s="19" t="inlineStr">
        <is>
          <t>C1015</t>
        </is>
      </c>
      <c r="B17" s="19" t="inlineStr">
        <is>
          <t>Customer 016</t>
        </is>
      </c>
      <c r="C17" s="19" t="n">
        <v>180</v>
      </c>
      <c r="D17" s="19" t="n">
        <v>4</v>
      </c>
      <c r="E17" s="20" t="n">
        <v>517.42</v>
      </c>
      <c r="F17" s="19">
        <f>IF(C17&lt;=10,5,IF(C17&lt;=30,4,IF(C17&lt;=60,3,IF(C17&lt;=120,2,1))))</f>
        <v/>
      </c>
      <c r="G17" s="19">
        <f>IF(D17&gt;=10,5,IF(D17&gt;=7,4,IF(D17&gt;=4,3,IF(D17&gt;=2,2,1))))</f>
        <v/>
      </c>
      <c r="H17" s="19">
        <f>IF(E17&gt;=1000,5,IF(E17&gt;=600,4,IF(E17&gt;=300,3,IF(E17&gt;=100,2,1))))</f>
        <v/>
      </c>
      <c r="I17" s="19">
        <f>F17+G17+H17</f>
        <v/>
      </c>
      <c r="J17" s="19">
        <f>IF(I17&gt;=13,"Champions",IF(I17&gt;=10,"Loyal Customers",IF(AND(F17&lt;=2,H17&gt;=3),"At Risk",IF(I17&gt;=7,"Potential Loyalist",IF(I17&lt;=5,"Lost","New Customers")))))</f>
        <v/>
      </c>
    </row>
    <row r="18" ht="15" customHeight="1" s="12">
      <c r="A18" s="19" t="inlineStr">
        <is>
          <t>C1016</t>
        </is>
      </c>
      <c r="B18" s="19" t="inlineStr">
        <is>
          <t>Customer 017</t>
        </is>
      </c>
      <c r="C18" s="19" t="n">
        <v>120</v>
      </c>
      <c r="D18" s="19" t="n">
        <v>8</v>
      </c>
      <c r="E18" s="20" t="n">
        <v>1439.21</v>
      </c>
      <c r="F18" s="19">
        <f>IF(C18&lt;=10,5,IF(C18&lt;=30,4,IF(C18&lt;=60,3,IF(C18&lt;=120,2,1))))</f>
        <v/>
      </c>
      <c r="G18" s="19">
        <f>IF(D18&gt;=10,5,IF(D18&gt;=7,4,IF(D18&gt;=4,3,IF(D18&gt;=2,2,1))))</f>
        <v/>
      </c>
      <c r="H18" s="19">
        <f>IF(E18&gt;=1000,5,IF(E18&gt;=600,4,IF(E18&gt;=300,3,IF(E18&gt;=100,2,1))))</f>
        <v/>
      </c>
      <c r="I18" s="19">
        <f>F18+G18+H18</f>
        <v/>
      </c>
      <c r="J18" s="19">
        <f>IF(I18&gt;=13,"Champions",IF(I18&gt;=10,"Loyal Customers",IF(AND(F18&lt;=2,H18&gt;=3),"At Risk",IF(I18&gt;=7,"Potential Loyalist",IF(I18&lt;=5,"Lost","New Customers")))))</f>
        <v/>
      </c>
    </row>
    <row r="19" ht="15" customHeight="1" s="12">
      <c r="A19" s="19" t="inlineStr">
        <is>
          <t>C1017</t>
        </is>
      </c>
      <c r="B19" s="19" t="inlineStr">
        <is>
          <t>Customer 018</t>
        </is>
      </c>
      <c r="C19" s="19" t="n">
        <v>90</v>
      </c>
      <c r="D19" s="19" t="n">
        <v>15</v>
      </c>
      <c r="E19" s="20" t="n">
        <v>3093.29</v>
      </c>
      <c r="F19" s="19">
        <f>IF(C19&lt;=10,5,IF(C19&lt;=30,4,IF(C19&lt;=60,3,IF(C19&lt;=120,2,1))))</f>
        <v/>
      </c>
      <c r="G19" s="19">
        <f>IF(D19&gt;=10,5,IF(D19&gt;=7,4,IF(D19&gt;=4,3,IF(D19&gt;=2,2,1))))</f>
        <v/>
      </c>
      <c r="H19" s="19">
        <f>IF(E19&gt;=1000,5,IF(E19&gt;=600,4,IF(E19&gt;=300,3,IF(E19&gt;=100,2,1))))</f>
        <v/>
      </c>
      <c r="I19" s="19">
        <f>F19+G19+H19</f>
        <v/>
      </c>
      <c r="J19" s="19">
        <f>IF(I19&gt;=13,"Champions",IF(I19&gt;=10,"Loyal Customers",IF(AND(F19&lt;=2,H19&gt;=3),"At Risk",IF(I19&gt;=7,"Potential Loyalist",IF(I19&lt;=5,"Lost","New Customers")))))</f>
        <v/>
      </c>
    </row>
    <row r="20" ht="15" customHeight="1" s="12">
      <c r="A20" s="19" t="inlineStr">
        <is>
          <t>C1018</t>
        </is>
      </c>
      <c r="B20" s="19" t="inlineStr">
        <is>
          <t>Customer 019</t>
        </is>
      </c>
      <c r="C20" s="19" t="n">
        <v>50</v>
      </c>
      <c r="D20" s="19" t="n">
        <v>5</v>
      </c>
      <c r="E20" s="20" t="n">
        <v>423.58</v>
      </c>
      <c r="F20" s="19">
        <f>IF(C20&lt;=10,5,IF(C20&lt;=30,4,IF(C20&lt;=60,3,IF(C20&lt;=120,2,1))))</f>
        <v/>
      </c>
      <c r="G20" s="19">
        <f>IF(D20&gt;=10,5,IF(D20&gt;=7,4,IF(D20&gt;=4,3,IF(D20&gt;=2,2,1))))</f>
        <v/>
      </c>
      <c r="H20" s="19">
        <f>IF(E20&gt;=1000,5,IF(E20&gt;=600,4,IF(E20&gt;=300,3,IF(E20&gt;=100,2,1))))</f>
        <v/>
      </c>
      <c r="I20" s="19">
        <f>F20+G20+H20</f>
        <v/>
      </c>
      <c r="J20" s="19">
        <f>IF(I20&gt;=13,"Champions",IF(I20&gt;=10,"Loyal Customers",IF(AND(F20&lt;=2,H20&gt;=3),"At Risk",IF(I20&gt;=7,"Potential Loyalist",IF(I20&lt;=5,"Lost","New Customers")))))</f>
        <v/>
      </c>
    </row>
    <row r="21" ht="15" customHeight="1" s="12">
      <c r="A21" s="19" t="inlineStr">
        <is>
          <t>C1019</t>
        </is>
      </c>
      <c r="B21" s="19" t="inlineStr">
        <is>
          <t>Customer 020</t>
        </is>
      </c>
      <c r="C21" s="19" t="n">
        <v>15</v>
      </c>
      <c r="D21" s="19" t="n">
        <v>4</v>
      </c>
      <c r="E21" s="20" t="n">
        <v>218.94</v>
      </c>
      <c r="F21" s="19">
        <f>IF(C21&lt;=10,5,IF(C21&lt;=30,4,IF(C21&lt;=60,3,IF(C21&lt;=120,2,1))))</f>
        <v/>
      </c>
      <c r="G21" s="19">
        <f>IF(D21&gt;=10,5,IF(D21&gt;=7,4,IF(D21&gt;=4,3,IF(D21&gt;=2,2,1))))</f>
        <v/>
      </c>
      <c r="H21" s="19">
        <f>IF(E21&gt;=1000,5,IF(E21&gt;=600,4,IF(E21&gt;=300,3,IF(E21&gt;=100,2,1))))</f>
        <v/>
      </c>
      <c r="I21" s="19">
        <f>F21+G21+H21</f>
        <v/>
      </c>
      <c r="J21" s="19">
        <f>IF(I21&gt;=13,"Champions",IF(I21&gt;=10,"Loyal Customers",IF(AND(F21&lt;=2,H21&gt;=3),"At Risk",IF(I21&gt;=7,"Potential Loyalist",IF(I21&lt;=5,"Lost","New Customers")))))</f>
        <v/>
      </c>
    </row>
    <row r="22" ht="15" customHeight="1" s="12">
      <c r="A22" s="19" t="inlineStr">
        <is>
          <t>C1020</t>
        </is>
      </c>
      <c r="B22" s="19" t="inlineStr">
        <is>
          <t>Customer 021</t>
        </is>
      </c>
      <c r="C22" s="19" t="n">
        <v>35</v>
      </c>
      <c r="D22" s="19" t="n">
        <v>12</v>
      </c>
      <c r="E22" s="20" t="n">
        <v>1549.45</v>
      </c>
      <c r="F22" s="19">
        <f>IF(C22&lt;=10,5,IF(C22&lt;=30,4,IF(C22&lt;=60,3,IF(C22&lt;=120,2,1))))</f>
        <v/>
      </c>
      <c r="G22" s="19">
        <f>IF(D22&gt;=10,5,IF(D22&gt;=7,4,IF(D22&gt;=4,3,IF(D22&gt;=2,2,1))))</f>
        <v/>
      </c>
      <c r="H22" s="19">
        <f>IF(E22&gt;=1000,5,IF(E22&gt;=600,4,IF(E22&gt;=300,3,IF(E22&gt;=100,2,1))))</f>
        <v/>
      </c>
      <c r="I22" s="19">
        <f>F22+G22+H22</f>
        <v/>
      </c>
      <c r="J22" s="19">
        <f>IF(I22&gt;=13,"Champions",IF(I22&gt;=10,"Loyal Customers",IF(AND(F22&lt;=2,H22&gt;=3),"At Risk",IF(I22&gt;=7,"Potential Loyalist",IF(I22&lt;=5,"Lost","New Customers")))))</f>
        <v/>
      </c>
    </row>
    <row r="23" ht="15" customHeight="1" s="12">
      <c r="A23" s="19" t="inlineStr">
        <is>
          <t>C1021</t>
        </is>
      </c>
      <c r="B23" s="19" t="inlineStr">
        <is>
          <t>Customer 022</t>
        </is>
      </c>
      <c r="C23" s="19" t="n">
        <v>50</v>
      </c>
      <c r="D23" s="19" t="n">
        <v>10</v>
      </c>
      <c r="E23" s="20" t="n">
        <v>918.29</v>
      </c>
      <c r="F23" s="19">
        <f>IF(C23&lt;=10,5,IF(C23&lt;=30,4,IF(C23&lt;=60,3,IF(C23&lt;=120,2,1))))</f>
        <v/>
      </c>
      <c r="G23" s="19">
        <f>IF(D23&gt;=10,5,IF(D23&gt;=7,4,IF(D23&gt;=4,3,IF(D23&gt;=2,2,1))))</f>
        <v/>
      </c>
      <c r="H23" s="19">
        <f>IF(E23&gt;=1000,5,IF(E23&gt;=600,4,IF(E23&gt;=300,3,IF(E23&gt;=100,2,1))))</f>
        <v/>
      </c>
      <c r="I23" s="19">
        <f>F23+G23+H23</f>
        <v/>
      </c>
      <c r="J23" s="19">
        <f>IF(I23&gt;=13,"Champions",IF(I23&gt;=10,"Loyal Customers",IF(AND(F23&lt;=2,H23&gt;=3),"At Risk",IF(I23&gt;=7,"Potential Loyalist",IF(I23&lt;=5,"Lost","New Customers")))))</f>
        <v/>
      </c>
    </row>
    <row r="24" ht="15" customHeight="1" s="12">
      <c r="A24" s="19" t="inlineStr">
        <is>
          <t>C1022</t>
        </is>
      </c>
      <c r="B24" s="19" t="inlineStr">
        <is>
          <t>Customer 023</t>
        </is>
      </c>
      <c r="C24" s="19" t="n">
        <v>8</v>
      </c>
      <c r="D24" s="19" t="n">
        <v>2</v>
      </c>
      <c r="E24" s="20" t="n">
        <v>264.3</v>
      </c>
      <c r="F24" s="19">
        <f>IF(C24&lt;=10,5,IF(C24&lt;=30,4,IF(C24&lt;=60,3,IF(C24&lt;=120,2,1))))</f>
        <v/>
      </c>
      <c r="G24" s="19">
        <f>IF(D24&gt;=10,5,IF(D24&gt;=7,4,IF(D24&gt;=4,3,IF(D24&gt;=2,2,1))))</f>
        <v/>
      </c>
      <c r="H24" s="19">
        <f>IF(E24&gt;=1000,5,IF(E24&gt;=600,4,IF(E24&gt;=300,3,IF(E24&gt;=100,2,1))))</f>
        <v/>
      </c>
      <c r="I24" s="19">
        <f>F24+G24+H24</f>
        <v/>
      </c>
      <c r="J24" s="19">
        <f>IF(I24&gt;=13,"Champions",IF(I24&gt;=10,"Loyal Customers",IF(AND(F24&lt;=2,H24&gt;=3),"At Risk",IF(I24&gt;=7,"Potential Loyalist",IF(I24&lt;=5,"Lost","New Customers")))))</f>
        <v/>
      </c>
    </row>
    <row r="25" ht="15" customHeight="1" s="12">
      <c r="A25" s="19" t="inlineStr">
        <is>
          <t>C1023</t>
        </is>
      </c>
      <c r="B25" s="19" t="inlineStr">
        <is>
          <t>Customer 024</t>
        </is>
      </c>
      <c r="C25" s="19" t="n">
        <v>15</v>
      </c>
      <c r="D25" s="19" t="n">
        <v>6</v>
      </c>
      <c r="E25" s="20" t="n">
        <v>404.14</v>
      </c>
      <c r="F25" s="19">
        <f>IF(C25&lt;=10,5,IF(C25&lt;=30,4,IF(C25&lt;=60,3,IF(C25&lt;=120,2,1))))</f>
        <v/>
      </c>
      <c r="G25" s="19">
        <f>IF(D25&gt;=10,5,IF(D25&gt;=7,4,IF(D25&gt;=4,3,IF(D25&gt;=2,2,1))))</f>
        <v/>
      </c>
      <c r="H25" s="19">
        <f>IF(E25&gt;=1000,5,IF(E25&gt;=600,4,IF(E25&gt;=300,3,IF(E25&gt;=100,2,1))))</f>
        <v/>
      </c>
      <c r="I25" s="19">
        <f>F25+G25+H25</f>
        <v/>
      </c>
      <c r="J25" s="19">
        <f>IF(I25&gt;=13,"Champions",IF(I25&gt;=10,"Loyal Customers",IF(AND(F25&lt;=2,H25&gt;=3),"At Risk",IF(I25&gt;=7,"Potential Loyalist",IF(I25&lt;=5,"Lost","New Customers")))))</f>
        <v/>
      </c>
    </row>
    <row r="26" ht="15" customHeight="1" s="12">
      <c r="A26" s="19" t="inlineStr">
        <is>
          <t>C1024</t>
        </is>
      </c>
      <c r="B26" s="19" t="inlineStr">
        <is>
          <t>Customer 025</t>
        </is>
      </c>
      <c r="C26" s="19" t="n">
        <v>90</v>
      </c>
      <c r="D26" s="19" t="n">
        <v>8</v>
      </c>
      <c r="E26" s="20" t="n">
        <v>376.46</v>
      </c>
      <c r="F26" s="19">
        <f>IF(C26&lt;=10,5,IF(C26&lt;=30,4,IF(C26&lt;=60,3,IF(C26&lt;=120,2,1))))</f>
        <v/>
      </c>
      <c r="G26" s="19">
        <f>IF(D26&gt;=10,5,IF(D26&gt;=7,4,IF(D26&gt;=4,3,IF(D26&gt;=2,2,1))))</f>
        <v/>
      </c>
      <c r="H26" s="19">
        <f>IF(E26&gt;=1000,5,IF(E26&gt;=600,4,IF(E26&gt;=300,3,IF(E26&gt;=100,2,1))))</f>
        <v/>
      </c>
      <c r="I26" s="19">
        <f>F26+G26+H26</f>
        <v/>
      </c>
      <c r="J26" s="19">
        <f>IF(I26&gt;=13,"Champions",IF(I26&gt;=10,"Loyal Customers",IF(AND(F26&lt;=2,H26&gt;=3),"At Risk",IF(I26&gt;=7,"Potential Loyalist",IF(I26&lt;=5,"Lost","New Customers")))))</f>
        <v/>
      </c>
    </row>
    <row r="27" ht="15" customHeight="1" s="12">
      <c r="A27" s="19" t="inlineStr">
        <is>
          <t>C1025</t>
        </is>
      </c>
      <c r="B27" s="19" t="inlineStr">
        <is>
          <t>Customer 026</t>
        </is>
      </c>
      <c r="C27" s="19" t="n">
        <v>240</v>
      </c>
      <c r="D27" s="19" t="n">
        <v>2</v>
      </c>
      <c r="E27" s="20" t="n">
        <v>355.25</v>
      </c>
      <c r="F27" s="19">
        <f>IF(C27&lt;=10,5,IF(C27&lt;=30,4,IF(C27&lt;=60,3,IF(C27&lt;=120,2,1))))</f>
        <v/>
      </c>
      <c r="G27" s="19">
        <f>IF(D27&gt;=10,5,IF(D27&gt;=7,4,IF(D27&gt;=4,3,IF(D27&gt;=2,2,1))))</f>
        <v/>
      </c>
      <c r="H27" s="19">
        <f>IF(E27&gt;=1000,5,IF(E27&gt;=600,4,IF(E27&gt;=300,3,IF(E27&gt;=100,2,1))))</f>
        <v/>
      </c>
      <c r="I27" s="19">
        <f>F27+G27+H27</f>
        <v/>
      </c>
      <c r="J27" s="19">
        <f>IF(I27&gt;=13,"Champions",IF(I27&gt;=10,"Loyal Customers",IF(AND(F27&lt;=2,H27&gt;=3),"At Risk",IF(I27&gt;=7,"Potential Loyalist",IF(I27&lt;=5,"Lost","New Customers")))))</f>
        <v/>
      </c>
    </row>
    <row r="28" ht="15" customHeight="1" s="12">
      <c r="A28" s="19" t="inlineStr">
        <is>
          <t>C1026</t>
        </is>
      </c>
      <c r="B28" s="19" t="inlineStr">
        <is>
          <t>Customer 027</t>
        </is>
      </c>
      <c r="C28" s="19" t="n">
        <v>180</v>
      </c>
      <c r="D28" s="19" t="n">
        <v>6</v>
      </c>
      <c r="E28" s="20" t="n">
        <v>607.33</v>
      </c>
      <c r="F28" s="19">
        <f>IF(C28&lt;=10,5,IF(C28&lt;=30,4,IF(C28&lt;=60,3,IF(C28&lt;=120,2,1))))</f>
        <v/>
      </c>
      <c r="G28" s="19">
        <f>IF(D28&gt;=10,5,IF(D28&gt;=7,4,IF(D28&gt;=4,3,IF(D28&gt;=2,2,1))))</f>
        <v/>
      </c>
      <c r="H28" s="19">
        <f>IF(E28&gt;=1000,5,IF(E28&gt;=600,4,IF(E28&gt;=300,3,IF(E28&gt;=100,2,1))))</f>
        <v/>
      </c>
      <c r="I28" s="19">
        <f>F28+G28+H28</f>
        <v/>
      </c>
      <c r="J28" s="19">
        <f>IF(I28&gt;=13,"Champions",IF(I28&gt;=10,"Loyal Customers",IF(AND(F28&lt;=2,H28&gt;=3),"At Risk",IF(I28&gt;=7,"Potential Loyalist",IF(I28&lt;=5,"Lost","New Customers")))))</f>
        <v/>
      </c>
    </row>
    <row r="29" ht="15" customHeight="1" s="12">
      <c r="A29" s="19" t="inlineStr">
        <is>
          <t>C1027</t>
        </is>
      </c>
      <c r="B29" s="19" t="inlineStr">
        <is>
          <t>Customer 028</t>
        </is>
      </c>
      <c r="C29" s="19" t="n">
        <v>50</v>
      </c>
      <c r="D29" s="19" t="n">
        <v>15</v>
      </c>
      <c r="E29" s="20" t="n">
        <v>1941.02</v>
      </c>
      <c r="F29" s="19">
        <f>IF(C29&lt;=10,5,IF(C29&lt;=30,4,IF(C29&lt;=60,3,IF(C29&lt;=120,2,1))))</f>
        <v/>
      </c>
      <c r="G29" s="19">
        <f>IF(D29&gt;=10,5,IF(D29&gt;=7,4,IF(D29&gt;=4,3,IF(D29&gt;=2,2,1))))</f>
        <v/>
      </c>
      <c r="H29" s="19">
        <f>IF(E29&gt;=1000,5,IF(E29&gt;=600,4,IF(E29&gt;=300,3,IF(E29&gt;=100,2,1))))</f>
        <v/>
      </c>
      <c r="I29" s="19">
        <f>F29+G29+H29</f>
        <v/>
      </c>
      <c r="J29" s="19">
        <f>IF(I29&gt;=13,"Champions",IF(I29&gt;=10,"Loyal Customers",IF(AND(F29&lt;=2,H29&gt;=3),"At Risk",IF(I29&gt;=7,"Potential Loyalist",IF(I29&lt;=5,"Lost","New Customers")))))</f>
        <v/>
      </c>
    </row>
    <row r="30" ht="15" customHeight="1" s="12">
      <c r="A30" s="19" t="inlineStr">
        <is>
          <t>C1028</t>
        </is>
      </c>
      <c r="B30" s="19" t="inlineStr">
        <is>
          <t>Customer 029</t>
        </is>
      </c>
      <c r="C30" s="19" t="n">
        <v>90</v>
      </c>
      <c r="D30" s="19" t="n">
        <v>2</v>
      </c>
      <c r="E30" s="20" t="n">
        <v>382.39</v>
      </c>
      <c r="F30" s="19">
        <f>IF(C30&lt;=10,5,IF(C30&lt;=30,4,IF(C30&lt;=60,3,IF(C30&lt;=120,2,1))))</f>
        <v/>
      </c>
      <c r="G30" s="19">
        <f>IF(D30&gt;=10,5,IF(D30&gt;=7,4,IF(D30&gt;=4,3,IF(D30&gt;=2,2,1))))</f>
        <v/>
      </c>
      <c r="H30" s="19">
        <f>IF(E30&gt;=1000,5,IF(E30&gt;=600,4,IF(E30&gt;=300,3,IF(E30&gt;=100,2,1))))</f>
        <v/>
      </c>
      <c r="I30" s="19">
        <f>F30+G30+H30</f>
        <v/>
      </c>
      <c r="J30" s="19">
        <f>IF(I30&gt;=13,"Champions",IF(I30&gt;=10,"Loyal Customers",IF(AND(F30&lt;=2,H30&gt;=3),"At Risk",IF(I30&gt;=7,"Potential Loyalist",IF(I30&lt;=5,"Lost","New Customers")))))</f>
        <v/>
      </c>
    </row>
    <row r="31" ht="15" customHeight="1" s="12">
      <c r="A31" s="19" t="inlineStr">
        <is>
          <t>C1029</t>
        </is>
      </c>
      <c r="B31" s="19" t="inlineStr">
        <is>
          <t>Customer 030</t>
        </is>
      </c>
      <c r="C31" s="19" t="n">
        <v>35</v>
      </c>
      <c r="D31" s="19" t="n">
        <v>10</v>
      </c>
      <c r="E31" s="20" t="n">
        <v>1654.68</v>
      </c>
      <c r="F31" s="19">
        <f>IF(C31&lt;=10,5,IF(C31&lt;=30,4,IF(C31&lt;=60,3,IF(C31&lt;=120,2,1))))</f>
        <v/>
      </c>
      <c r="G31" s="19">
        <f>IF(D31&gt;=10,5,IF(D31&gt;=7,4,IF(D31&gt;=4,3,IF(D31&gt;=2,2,1))))</f>
        <v/>
      </c>
      <c r="H31" s="19">
        <f>IF(E31&gt;=1000,5,IF(E31&gt;=600,4,IF(E31&gt;=300,3,IF(E31&gt;=100,2,1))))</f>
        <v/>
      </c>
      <c r="I31" s="19">
        <f>F31+G31+H31</f>
        <v/>
      </c>
      <c r="J31" s="19">
        <f>IF(I31&gt;=13,"Champions",IF(I31&gt;=10,"Loyal Customers",IF(AND(F31&lt;=2,H31&gt;=3),"At Risk",IF(I31&gt;=7,"Potential Loyalist",IF(I31&lt;=5,"Lost","New Customers")))))</f>
        <v/>
      </c>
    </row>
    <row r="32" ht="15" customHeight="1" s="12">
      <c r="A32" s="19" t="inlineStr">
        <is>
          <t>C1030</t>
        </is>
      </c>
      <c r="B32" s="19" t="inlineStr">
        <is>
          <t>Customer 031</t>
        </is>
      </c>
      <c r="C32" s="19" t="n">
        <v>8</v>
      </c>
      <c r="D32" s="19" t="n">
        <v>1</v>
      </c>
      <c r="E32" s="20" t="n">
        <v>171.61</v>
      </c>
      <c r="F32" s="19">
        <f>IF(C32&lt;=10,5,IF(C32&lt;=30,4,IF(C32&lt;=60,3,IF(C32&lt;=120,2,1))))</f>
        <v/>
      </c>
      <c r="G32" s="19">
        <f>IF(D32&gt;=10,5,IF(D32&gt;=7,4,IF(D32&gt;=4,3,IF(D32&gt;=2,2,1))))</f>
        <v/>
      </c>
      <c r="H32" s="19">
        <f>IF(E32&gt;=1000,5,IF(E32&gt;=600,4,IF(E32&gt;=300,3,IF(E32&gt;=100,2,1))))</f>
        <v/>
      </c>
      <c r="I32" s="19">
        <f>F32+G32+H32</f>
        <v/>
      </c>
      <c r="J32" s="19">
        <f>IF(I32&gt;=13,"Champions",IF(I32&gt;=10,"Loyal Customers",IF(AND(F32&lt;=2,H32&gt;=3),"At Risk",IF(I32&gt;=7,"Potential Loyalist",IF(I32&lt;=5,"Lost","New Customers")))))</f>
        <v/>
      </c>
    </row>
    <row r="33" ht="15" customHeight="1" s="12">
      <c r="A33" s="19" t="inlineStr">
        <is>
          <t>C1031</t>
        </is>
      </c>
      <c r="B33" s="19" t="inlineStr">
        <is>
          <t>Customer 032</t>
        </is>
      </c>
      <c r="C33" s="19" t="n">
        <v>35</v>
      </c>
      <c r="D33" s="19" t="n">
        <v>15</v>
      </c>
      <c r="E33" s="20" t="n">
        <v>3281.36</v>
      </c>
      <c r="F33" s="19">
        <f>IF(C33&lt;=10,5,IF(C33&lt;=30,4,IF(C33&lt;=60,3,IF(C33&lt;=120,2,1))))</f>
        <v/>
      </c>
      <c r="G33" s="19">
        <f>IF(D33&gt;=10,5,IF(D33&gt;=7,4,IF(D33&gt;=4,3,IF(D33&gt;=2,2,1))))</f>
        <v/>
      </c>
      <c r="H33" s="19">
        <f>IF(E33&gt;=1000,5,IF(E33&gt;=600,4,IF(E33&gt;=300,3,IF(E33&gt;=100,2,1))))</f>
        <v/>
      </c>
      <c r="I33" s="19">
        <f>F33+G33+H33</f>
        <v/>
      </c>
      <c r="J33" s="19">
        <f>IF(I33&gt;=13,"Champions",IF(I33&gt;=10,"Loyal Customers",IF(AND(F33&lt;=2,H33&gt;=3),"At Risk",IF(I33&gt;=7,"Potential Loyalist",IF(I33&lt;=5,"Lost","New Customers")))))</f>
        <v/>
      </c>
    </row>
    <row r="34" ht="15" customHeight="1" s="12">
      <c r="A34" s="19" t="inlineStr">
        <is>
          <t>C1032</t>
        </is>
      </c>
      <c r="B34" s="19" t="inlineStr">
        <is>
          <t>Customer 033</t>
        </is>
      </c>
      <c r="C34" s="19" t="n">
        <v>90</v>
      </c>
      <c r="D34" s="19" t="n">
        <v>5</v>
      </c>
      <c r="E34" s="20" t="n">
        <v>844.97</v>
      </c>
      <c r="F34" s="19">
        <f>IF(C34&lt;=10,5,IF(C34&lt;=30,4,IF(C34&lt;=60,3,IF(C34&lt;=120,2,1))))</f>
        <v/>
      </c>
      <c r="G34" s="19">
        <f>IF(D34&gt;=10,5,IF(D34&gt;=7,4,IF(D34&gt;=4,3,IF(D34&gt;=2,2,1))))</f>
        <v/>
      </c>
      <c r="H34" s="19">
        <f>IF(E34&gt;=1000,5,IF(E34&gt;=600,4,IF(E34&gt;=300,3,IF(E34&gt;=100,2,1))))</f>
        <v/>
      </c>
      <c r="I34" s="19">
        <f>F34+G34+H34</f>
        <v/>
      </c>
      <c r="J34" s="19">
        <f>IF(I34&gt;=13,"Champions",IF(I34&gt;=10,"Loyal Customers",IF(AND(F34&lt;=2,H34&gt;=3),"At Risk",IF(I34&gt;=7,"Potential Loyalist",IF(I34&lt;=5,"Lost","New Customers")))))</f>
        <v/>
      </c>
    </row>
    <row r="35" ht="15" customHeight="1" s="12">
      <c r="A35" s="19" t="inlineStr">
        <is>
          <t>C1033</t>
        </is>
      </c>
      <c r="B35" s="19" t="inlineStr">
        <is>
          <t>Customer 034</t>
        </is>
      </c>
      <c r="C35" s="19" t="n">
        <v>240</v>
      </c>
      <c r="D35" s="19" t="n">
        <v>6</v>
      </c>
      <c r="E35" s="20" t="n">
        <v>264.37</v>
      </c>
      <c r="F35" s="19">
        <f>IF(C35&lt;=10,5,IF(C35&lt;=30,4,IF(C35&lt;=60,3,IF(C35&lt;=120,2,1))))</f>
        <v/>
      </c>
      <c r="G35" s="19">
        <f>IF(D35&gt;=10,5,IF(D35&gt;=7,4,IF(D35&gt;=4,3,IF(D35&gt;=2,2,1))))</f>
        <v/>
      </c>
      <c r="H35" s="19">
        <f>IF(E35&gt;=1000,5,IF(E35&gt;=600,4,IF(E35&gt;=300,3,IF(E35&gt;=100,2,1))))</f>
        <v/>
      </c>
      <c r="I35" s="19">
        <f>F35+G35+H35</f>
        <v/>
      </c>
      <c r="J35" s="19">
        <f>IF(I35&gt;=13,"Champions",IF(I35&gt;=10,"Loyal Customers",IF(AND(F35&lt;=2,H35&gt;=3),"At Risk",IF(I35&gt;=7,"Potential Loyalist",IF(I35&lt;=5,"Lost","New Customers")))))</f>
        <v/>
      </c>
    </row>
    <row r="36" ht="15" customHeight="1" s="12">
      <c r="A36" s="19" t="inlineStr">
        <is>
          <t>C1034</t>
        </is>
      </c>
      <c r="B36" s="19" t="inlineStr">
        <is>
          <t>Customer 035</t>
        </is>
      </c>
      <c r="C36" s="19" t="n">
        <v>90</v>
      </c>
      <c r="D36" s="19" t="n">
        <v>6</v>
      </c>
      <c r="E36" s="20" t="n">
        <v>421.49</v>
      </c>
      <c r="F36" s="19">
        <f>IF(C36&lt;=10,5,IF(C36&lt;=30,4,IF(C36&lt;=60,3,IF(C36&lt;=120,2,1))))</f>
        <v/>
      </c>
      <c r="G36" s="19">
        <f>IF(D36&gt;=10,5,IF(D36&gt;=7,4,IF(D36&gt;=4,3,IF(D36&gt;=2,2,1))))</f>
        <v/>
      </c>
      <c r="H36" s="19">
        <f>IF(E36&gt;=1000,5,IF(E36&gt;=600,4,IF(E36&gt;=300,3,IF(E36&gt;=100,2,1))))</f>
        <v/>
      </c>
      <c r="I36" s="19">
        <f>F36+G36+H36</f>
        <v/>
      </c>
      <c r="J36" s="19">
        <f>IF(I36&gt;=13,"Champions",IF(I36&gt;=10,"Loyal Customers",IF(AND(F36&lt;=2,H36&gt;=3),"At Risk",IF(I36&gt;=7,"Potential Loyalist",IF(I36&lt;=5,"Lost","New Customers")))))</f>
        <v/>
      </c>
    </row>
    <row r="37" ht="15" customHeight="1" s="12">
      <c r="A37" s="19" t="inlineStr">
        <is>
          <t>C1035</t>
        </is>
      </c>
      <c r="B37" s="19" t="inlineStr">
        <is>
          <t>Customer 036</t>
        </is>
      </c>
      <c r="C37" s="19" t="n">
        <v>8</v>
      </c>
      <c r="D37" s="19" t="n">
        <v>10</v>
      </c>
      <c r="E37" s="20" t="n">
        <v>506.12</v>
      </c>
      <c r="F37" s="19">
        <f>IF(C37&lt;=10,5,IF(C37&lt;=30,4,IF(C37&lt;=60,3,IF(C37&lt;=120,2,1))))</f>
        <v/>
      </c>
      <c r="G37" s="19">
        <f>IF(D37&gt;=10,5,IF(D37&gt;=7,4,IF(D37&gt;=4,3,IF(D37&gt;=2,2,1))))</f>
        <v/>
      </c>
      <c r="H37" s="19">
        <f>IF(E37&gt;=1000,5,IF(E37&gt;=600,4,IF(E37&gt;=300,3,IF(E37&gt;=100,2,1))))</f>
        <v/>
      </c>
      <c r="I37" s="19">
        <f>F37+G37+H37</f>
        <v/>
      </c>
      <c r="J37" s="19">
        <f>IF(I37&gt;=13,"Champions",IF(I37&gt;=10,"Loyal Customers",IF(AND(F37&lt;=2,H37&gt;=3),"At Risk",IF(I37&gt;=7,"Potential Loyalist",IF(I37&lt;=5,"Lost","New Customers")))))</f>
        <v/>
      </c>
    </row>
    <row r="38" ht="15" customHeight="1" s="12">
      <c r="A38" s="19" t="inlineStr">
        <is>
          <t>C1036</t>
        </is>
      </c>
      <c r="B38" s="19" t="inlineStr">
        <is>
          <t>Customer 037</t>
        </is>
      </c>
      <c r="C38" s="19" t="n">
        <v>35</v>
      </c>
      <c r="D38" s="19" t="n">
        <v>3</v>
      </c>
      <c r="E38" s="20" t="n">
        <v>518.72</v>
      </c>
      <c r="F38" s="19">
        <f>IF(C38&lt;=10,5,IF(C38&lt;=30,4,IF(C38&lt;=60,3,IF(C38&lt;=120,2,1))))</f>
        <v/>
      </c>
      <c r="G38" s="19">
        <f>IF(D38&gt;=10,5,IF(D38&gt;=7,4,IF(D38&gt;=4,3,IF(D38&gt;=2,2,1))))</f>
        <v/>
      </c>
      <c r="H38" s="19">
        <f>IF(E38&gt;=1000,5,IF(E38&gt;=600,4,IF(E38&gt;=300,3,IF(E38&gt;=100,2,1))))</f>
        <v/>
      </c>
      <c r="I38" s="19">
        <f>F38+G38+H38</f>
        <v/>
      </c>
      <c r="J38" s="19">
        <f>IF(I38&gt;=13,"Champions",IF(I38&gt;=10,"Loyal Customers",IF(AND(F38&lt;=2,H38&gt;=3),"At Risk",IF(I38&gt;=7,"Potential Loyalist",IF(I38&lt;=5,"Lost","New Customers")))))</f>
        <v/>
      </c>
    </row>
    <row r="39" ht="15" customHeight="1" s="12">
      <c r="A39" s="19" t="inlineStr">
        <is>
          <t>C1037</t>
        </is>
      </c>
      <c r="B39" s="19" t="inlineStr">
        <is>
          <t>Customer 038</t>
        </is>
      </c>
      <c r="C39" s="19" t="n">
        <v>70</v>
      </c>
      <c r="D39" s="19" t="n">
        <v>8</v>
      </c>
      <c r="E39" s="20" t="n">
        <v>1640.22</v>
      </c>
      <c r="F39" s="19">
        <f>IF(C39&lt;=10,5,IF(C39&lt;=30,4,IF(C39&lt;=60,3,IF(C39&lt;=120,2,1))))</f>
        <v/>
      </c>
      <c r="G39" s="19">
        <f>IF(D39&gt;=10,5,IF(D39&gt;=7,4,IF(D39&gt;=4,3,IF(D39&gt;=2,2,1))))</f>
        <v/>
      </c>
      <c r="H39" s="19">
        <f>IF(E39&gt;=1000,5,IF(E39&gt;=600,4,IF(E39&gt;=300,3,IF(E39&gt;=100,2,1))))</f>
        <v/>
      </c>
      <c r="I39" s="19">
        <f>F39+G39+H39</f>
        <v/>
      </c>
      <c r="J39" s="19">
        <f>IF(I39&gt;=13,"Champions",IF(I39&gt;=10,"Loyal Customers",IF(AND(F39&lt;=2,H39&gt;=3),"At Risk",IF(I39&gt;=7,"Potential Loyalist",IF(I39&lt;=5,"Lost","New Customers")))))</f>
        <v/>
      </c>
    </row>
    <row r="40" ht="15" customHeight="1" s="12">
      <c r="A40" s="19" t="inlineStr">
        <is>
          <t>C1038</t>
        </is>
      </c>
      <c r="B40" s="19" t="inlineStr">
        <is>
          <t>Customer 039</t>
        </is>
      </c>
      <c r="C40" s="19" t="n">
        <v>90</v>
      </c>
      <c r="D40" s="19" t="n">
        <v>2</v>
      </c>
      <c r="E40" s="20" t="n">
        <v>139.89</v>
      </c>
      <c r="F40" s="19">
        <f>IF(C40&lt;=10,5,IF(C40&lt;=30,4,IF(C40&lt;=60,3,IF(C40&lt;=120,2,1))))</f>
        <v/>
      </c>
      <c r="G40" s="19">
        <f>IF(D40&gt;=10,5,IF(D40&gt;=7,4,IF(D40&gt;=4,3,IF(D40&gt;=2,2,1))))</f>
        <v/>
      </c>
      <c r="H40" s="19">
        <f>IF(E40&gt;=1000,5,IF(E40&gt;=600,4,IF(E40&gt;=300,3,IF(E40&gt;=100,2,1))))</f>
        <v/>
      </c>
      <c r="I40" s="19">
        <f>F40+G40+H40</f>
        <v/>
      </c>
      <c r="J40" s="19">
        <f>IF(I40&gt;=13,"Champions",IF(I40&gt;=10,"Loyal Customers",IF(AND(F40&lt;=2,H40&gt;=3),"At Risk",IF(I40&gt;=7,"Potential Loyalist",IF(I40&lt;=5,"Lost","New Customers")))))</f>
        <v/>
      </c>
    </row>
    <row r="41" ht="15" customHeight="1" s="12">
      <c r="A41" s="19" t="inlineStr">
        <is>
          <t>C1039</t>
        </is>
      </c>
      <c r="B41" s="19" t="inlineStr">
        <is>
          <t>Customer 040</t>
        </is>
      </c>
      <c r="C41" s="19" t="n">
        <v>70</v>
      </c>
      <c r="D41" s="19" t="n">
        <v>12</v>
      </c>
      <c r="E41" s="20" t="n">
        <v>1080.13</v>
      </c>
      <c r="F41" s="19">
        <f>IF(C41&lt;=10,5,IF(C41&lt;=30,4,IF(C41&lt;=60,3,IF(C41&lt;=120,2,1))))</f>
        <v/>
      </c>
      <c r="G41" s="19">
        <f>IF(D41&gt;=10,5,IF(D41&gt;=7,4,IF(D41&gt;=4,3,IF(D41&gt;=2,2,1))))</f>
        <v/>
      </c>
      <c r="H41" s="19">
        <f>IF(E41&gt;=1000,5,IF(E41&gt;=600,4,IF(E41&gt;=300,3,IF(E41&gt;=100,2,1))))</f>
        <v/>
      </c>
      <c r="I41" s="19">
        <f>F41+G41+H41</f>
        <v/>
      </c>
      <c r="J41" s="19">
        <f>IF(I41&gt;=13,"Champions",IF(I41&gt;=10,"Loyal Customers",IF(AND(F41&lt;=2,H41&gt;=3),"At Risk",IF(I41&gt;=7,"Potential Loyalist",IF(I41&lt;=5,"Lost","New Customers")))))</f>
        <v/>
      </c>
    </row>
    <row r="42" ht="15" customHeight="1" s="12">
      <c r="A42" s="19" t="inlineStr">
        <is>
          <t>C1040</t>
        </is>
      </c>
      <c r="B42" s="19" t="inlineStr">
        <is>
          <t>Customer 041</t>
        </is>
      </c>
      <c r="C42" s="19" t="n">
        <v>15</v>
      </c>
      <c r="D42" s="19" t="n">
        <v>8</v>
      </c>
      <c r="E42" s="20" t="n">
        <v>1564.14</v>
      </c>
      <c r="F42" s="19">
        <f>IF(C42&lt;=10,5,IF(C42&lt;=30,4,IF(C42&lt;=60,3,IF(C42&lt;=120,2,1))))</f>
        <v/>
      </c>
      <c r="G42" s="19">
        <f>IF(D42&gt;=10,5,IF(D42&gt;=7,4,IF(D42&gt;=4,3,IF(D42&gt;=2,2,1))))</f>
        <v/>
      </c>
      <c r="H42" s="19">
        <f>IF(E42&gt;=1000,5,IF(E42&gt;=600,4,IF(E42&gt;=300,3,IF(E42&gt;=100,2,1))))</f>
        <v/>
      </c>
      <c r="I42" s="19">
        <f>F42+G42+H42</f>
        <v/>
      </c>
      <c r="J42" s="19">
        <f>IF(I42&gt;=13,"Champions",IF(I42&gt;=10,"Loyal Customers",IF(AND(F42&lt;=2,H42&gt;=3),"At Risk",IF(I42&gt;=7,"Potential Loyalist",IF(I42&lt;=5,"Lost","New Customers")))))</f>
        <v/>
      </c>
    </row>
    <row r="43" ht="15" customHeight="1" s="12">
      <c r="A43" s="19" t="inlineStr">
        <is>
          <t>C1041</t>
        </is>
      </c>
      <c r="B43" s="19" t="inlineStr">
        <is>
          <t>Customer 042</t>
        </is>
      </c>
      <c r="C43" s="19" t="n">
        <v>35</v>
      </c>
      <c r="D43" s="19" t="n">
        <v>8</v>
      </c>
      <c r="E43" s="20" t="n">
        <v>1740.51</v>
      </c>
      <c r="F43" s="19">
        <f>IF(C43&lt;=10,5,IF(C43&lt;=30,4,IF(C43&lt;=60,3,IF(C43&lt;=120,2,1))))</f>
        <v/>
      </c>
      <c r="G43" s="19">
        <f>IF(D43&gt;=10,5,IF(D43&gt;=7,4,IF(D43&gt;=4,3,IF(D43&gt;=2,2,1))))</f>
        <v/>
      </c>
      <c r="H43" s="19">
        <f>IF(E43&gt;=1000,5,IF(E43&gt;=600,4,IF(E43&gt;=300,3,IF(E43&gt;=100,2,1))))</f>
        <v/>
      </c>
      <c r="I43" s="19">
        <f>F43+G43+H43</f>
        <v/>
      </c>
      <c r="J43" s="19">
        <f>IF(I43&gt;=13,"Champions",IF(I43&gt;=10,"Loyal Customers",IF(AND(F43&lt;=2,H43&gt;=3),"At Risk",IF(I43&gt;=7,"Potential Loyalist",IF(I43&lt;=5,"Lost","New Customers")))))</f>
        <v/>
      </c>
    </row>
    <row r="44" ht="15" customHeight="1" s="12">
      <c r="A44" s="19" t="inlineStr">
        <is>
          <t>C1042</t>
        </is>
      </c>
      <c r="B44" s="19" t="inlineStr">
        <is>
          <t>Customer 043</t>
        </is>
      </c>
      <c r="C44" s="19" t="n">
        <v>240</v>
      </c>
      <c r="D44" s="19" t="n">
        <v>8</v>
      </c>
      <c r="E44" s="20" t="n">
        <v>1699.13</v>
      </c>
      <c r="F44" s="19">
        <f>IF(C44&lt;=10,5,IF(C44&lt;=30,4,IF(C44&lt;=60,3,IF(C44&lt;=120,2,1))))</f>
        <v/>
      </c>
      <c r="G44" s="19">
        <f>IF(D44&gt;=10,5,IF(D44&gt;=7,4,IF(D44&gt;=4,3,IF(D44&gt;=2,2,1))))</f>
        <v/>
      </c>
      <c r="H44" s="19">
        <f>IF(E44&gt;=1000,5,IF(E44&gt;=600,4,IF(E44&gt;=300,3,IF(E44&gt;=100,2,1))))</f>
        <v/>
      </c>
      <c r="I44" s="19">
        <f>F44+G44+H44</f>
        <v/>
      </c>
      <c r="J44" s="19">
        <f>IF(I44&gt;=13,"Champions",IF(I44&gt;=10,"Loyal Customers",IF(AND(F44&lt;=2,H44&gt;=3),"At Risk",IF(I44&gt;=7,"Potential Loyalist",IF(I44&lt;=5,"Lost","New Customers")))))</f>
        <v/>
      </c>
    </row>
    <row r="45" ht="15" customHeight="1" s="12">
      <c r="A45" s="19" t="inlineStr">
        <is>
          <t>C1043</t>
        </is>
      </c>
      <c r="B45" s="19" t="inlineStr">
        <is>
          <t>Customer 044</t>
        </is>
      </c>
      <c r="C45" s="19" t="n">
        <v>15</v>
      </c>
      <c r="D45" s="19" t="n">
        <v>2</v>
      </c>
      <c r="E45" s="20" t="n">
        <v>143.44</v>
      </c>
      <c r="F45" s="19">
        <f>IF(C45&lt;=10,5,IF(C45&lt;=30,4,IF(C45&lt;=60,3,IF(C45&lt;=120,2,1))))</f>
        <v/>
      </c>
      <c r="G45" s="19">
        <f>IF(D45&gt;=10,5,IF(D45&gt;=7,4,IF(D45&gt;=4,3,IF(D45&gt;=2,2,1))))</f>
        <v/>
      </c>
      <c r="H45" s="19">
        <f>IF(E45&gt;=1000,5,IF(E45&gt;=600,4,IF(E45&gt;=300,3,IF(E45&gt;=100,2,1))))</f>
        <v/>
      </c>
      <c r="I45" s="19">
        <f>F45+G45+H45</f>
        <v/>
      </c>
      <c r="J45" s="19">
        <f>IF(I45&gt;=13,"Champions",IF(I45&gt;=10,"Loyal Customers",IF(AND(F45&lt;=2,H45&gt;=3),"At Risk",IF(I45&gt;=7,"Potential Loyalist",IF(I45&lt;=5,"Lost","New Customers")))))</f>
        <v/>
      </c>
    </row>
    <row r="46" ht="15" customHeight="1" s="12">
      <c r="A46" s="19" t="inlineStr">
        <is>
          <t>C1044</t>
        </is>
      </c>
      <c r="B46" s="19" t="inlineStr">
        <is>
          <t>Customer 045</t>
        </is>
      </c>
      <c r="C46" s="19" t="n">
        <v>20</v>
      </c>
      <c r="D46" s="19" t="n">
        <v>4</v>
      </c>
      <c r="E46" s="20" t="n">
        <v>168.69</v>
      </c>
      <c r="F46" s="19">
        <f>IF(C46&lt;=10,5,IF(C46&lt;=30,4,IF(C46&lt;=60,3,IF(C46&lt;=120,2,1))))</f>
        <v/>
      </c>
      <c r="G46" s="19">
        <f>IF(D46&gt;=10,5,IF(D46&gt;=7,4,IF(D46&gt;=4,3,IF(D46&gt;=2,2,1))))</f>
        <v/>
      </c>
      <c r="H46" s="19">
        <f>IF(E46&gt;=1000,5,IF(E46&gt;=600,4,IF(E46&gt;=300,3,IF(E46&gt;=100,2,1))))</f>
        <v/>
      </c>
      <c r="I46" s="19">
        <f>F46+G46+H46</f>
        <v/>
      </c>
      <c r="J46" s="19">
        <f>IF(I46&gt;=13,"Champions",IF(I46&gt;=10,"Loyal Customers",IF(AND(F46&lt;=2,H46&gt;=3),"At Risk",IF(I46&gt;=7,"Potential Loyalist",IF(I46&lt;=5,"Lost","New Customers")))))</f>
        <v/>
      </c>
    </row>
    <row r="47" ht="15" customHeight="1" s="12">
      <c r="A47" s="19" t="inlineStr">
        <is>
          <t>C1045</t>
        </is>
      </c>
      <c r="B47" s="19" t="inlineStr">
        <is>
          <t>Customer 046</t>
        </is>
      </c>
      <c r="C47" s="19" t="n">
        <v>180</v>
      </c>
      <c r="D47" s="19" t="n">
        <v>3</v>
      </c>
      <c r="E47" s="20" t="n">
        <v>261.88</v>
      </c>
      <c r="F47" s="19">
        <f>IF(C47&lt;=10,5,IF(C47&lt;=30,4,IF(C47&lt;=60,3,IF(C47&lt;=120,2,1))))</f>
        <v/>
      </c>
      <c r="G47" s="19">
        <f>IF(D47&gt;=10,5,IF(D47&gt;=7,4,IF(D47&gt;=4,3,IF(D47&gt;=2,2,1))))</f>
        <v/>
      </c>
      <c r="H47" s="19">
        <f>IF(E47&gt;=1000,5,IF(E47&gt;=600,4,IF(E47&gt;=300,3,IF(E47&gt;=100,2,1))))</f>
        <v/>
      </c>
      <c r="I47" s="19">
        <f>F47+G47+H47</f>
        <v/>
      </c>
      <c r="J47" s="19">
        <f>IF(I47&gt;=13,"Champions",IF(I47&gt;=10,"Loyal Customers",IF(AND(F47&lt;=2,H47&gt;=3),"At Risk",IF(I47&gt;=7,"Potential Loyalist",IF(I47&lt;=5,"Lost","New Customers")))))</f>
        <v/>
      </c>
    </row>
    <row r="48" ht="15" customHeight="1" s="12">
      <c r="A48" s="19" t="inlineStr">
        <is>
          <t>C1046</t>
        </is>
      </c>
      <c r="B48" s="19" t="inlineStr">
        <is>
          <t>Customer 047</t>
        </is>
      </c>
      <c r="C48" s="19" t="n">
        <v>3</v>
      </c>
      <c r="D48" s="19" t="n">
        <v>3</v>
      </c>
      <c r="E48" s="20" t="n">
        <v>346.23</v>
      </c>
      <c r="F48" s="19">
        <f>IF(C48&lt;=10,5,IF(C48&lt;=30,4,IF(C48&lt;=60,3,IF(C48&lt;=120,2,1))))</f>
        <v/>
      </c>
      <c r="G48" s="19">
        <f>IF(D48&gt;=10,5,IF(D48&gt;=7,4,IF(D48&gt;=4,3,IF(D48&gt;=2,2,1))))</f>
        <v/>
      </c>
      <c r="H48" s="19">
        <f>IF(E48&gt;=1000,5,IF(E48&gt;=600,4,IF(E48&gt;=300,3,IF(E48&gt;=100,2,1))))</f>
        <v/>
      </c>
      <c r="I48" s="19">
        <f>F48+G48+H48</f>
        <v/>
      </c>
      <c r="J48" s="19">
        <f>IF(I48&gt;=13,"Champions",IF(I48&gt;=10,"Loyal Customers",IF(AND(F48&lt;=2,H48&gt;=3),"At Risk",IF(I48&gt;=7,"Potential Loyalist",IF(I48&lt;=5,"Lost","New Customers")))))</f>
        <v/>
      </c>
    </row>
    <row r="49" ht="15" customHeight="1" s="12">
      <c r="A49" s="19" t="inlineStr">
        <is>
          <t>C1047</t>
        </is>
      </c>
      <c r="B49" s="19" t="inlineStr">
        <is>
          <t>Customer 048</t>
        </is>
      </c>
      <c r="C49" s="19" t="n">
        <v>50</v>
      </c>
      <c r="D49" s="19" t="n">
        <v>15</v>
      </c>
      <c r="E49" s="20" t="n">
        <v>2129.12</v>
      </c>
      <c r="F49" s="19">
        <f>IF(C49&lt;=10,5,IF(C49&lt;=30,4,IF(C49&lt;=60,3,IF(C49&lt;=120,2,1))))</f>
        <v/>
      </c>
      <c r="G49" s="19">
        <f>IF(D49&gt;=10,5,IF(D49&gt;=7,4,IF(D49&gt;=4,3,IF(D49&gt;=2,2,1))))</f>
        <v/>
      </c>
      <c r="H49" s="19">
        <f>IF(E49&gt;=1000,5,IF(E49&gt;=600,4,IF(E49&gt;=300,3,IF(E49&gt;=100,2,1))))</f>
        <v/>
      </c>
      <c r="I49" s="19">
        <f>F49+G49+H49</f>
        <v/>
      </c>
      <c r="J49" s="19">
        <f>IF(I49&gt;=13,"Champions",IF(I49&gt;=10,"Loyal Customers",IF(AND(F49&lt;=2,H49&gt;=3),"At Risk",IF(I49&gt;=7,"Potential Loyalist",IF(I49&lt;=5,"Lost","New Customers")))))</f>
        <v/>
      </c>
    </row>
    <row r="50" ht="15" customHeight="1" s="12">
      <c r="A50" s="19" t="inlineStr">
        <is>
          <t>C1048</t>
        </is>
      </c>
      <c r="B50" s="19" t="inlineStr">
        <is>
          <t>Customer 049</t>
        </is>
      </c>
      <c r="C50" s="19" t="n">
        <v>15</v>
      </c>
      <c r="D50" s="19" t="n">
        <v>12</v>
      </c>
      <c r="E50" s="20" t="n">
        <v>2532.48</v>
      </c>
      <c r="F50" s="19">
        <f>IF(C50&lt;=10,5,IF(C50&lt;=30,4,IF(C50&lt;=60,3,IF(C50&lt;=120,2,1))))</f>
        <v/>
      </c>
      <c r="G50" s="19">
        <f>IF(D50&gt;=10,5,IF(D50&gt;=7,4,IF(D50&gt;=4,3,IF(D50&gt;=2,2,1))))</f>
        <v/>
      </c>
      <c r="H50" s="19">
        <f>IF(E50&gt;=1000,5,IF(E50&gt;=600,4,IF(E50&gt;=300,3,IF(E50&gt;=100,2,1))))</f>
        <v/>
      </c>
      <c r="I50" s="19">
        <f>F50+G50+H50</f>
        <v/>
      </c>
      <c r="J50" s="19">
        <f>IF(I50&gt;=13,"Champions",IF(I50&gt;=10,"Loyal Customers",IF(AND(F50&lt;=2,H50&gt;=3),"At Risk",IF(I50&gt;=7,"Potential Loyalist",IF(I50&lt;=5,"Lost","New Customers")))))</f>
        <v/>
      </c>
    </row>
    <row r="51" ht="15" customHeight="1" s="12">
      <c r="A51" s="19" t="inlineStr">
        <is>
          <t>C1049</t>
        </is>
      </c>
      <c r="B51" s="19" t="inlineStr">
        <is>
          <t>Customer 050</t>
        </is>
      </c>
      <c r="C51" s="19" t="n">
        <v>240</v>
      </c>
      <c r="D51" s="19" t="n">
        <v>1</v>
      </c>
      <c r="E51" s="20" t="n">
        <v>122.2</v>
      </c>
      <c r="F51" s="19">
        <f>IF(C51&lt;=10,5,IF(C51&lt;=30,4,IF(C51&lt;=60,3,IF(C51&lt;=120,2,1))))</f>
        <v/>
      </c>
      <c r="G51" s="19">
        <f>IF(D51&gt;=10,5,IF(D51&gt;=7,4,IF(D51&gt;=4,3,IF(D51&gt;=2,2,1))))</f>
        <v/>
      </c>
      <c r="H51" s="19">
        <f>IF(E51&gt;=1000,5,IF(E51&gt;=600,4,IF(E51&gt;=300,3,IF(E51&gt;=100,2,1))))</f>
        <v/>
      </c>
      <c r="I51" s="19">
        <f>F51+G51+H51</f>
        <v/>
      </c>
      <c r="J51" s="19">
        <f>IF(I51&gt;=13,"Champions",IF(I51&gt;=10,"Loyal Customers",IF(AND(F51&lt;=2,H51&gt;=3),"At Risk",IF(I51&gt;=7,"Potential Loyalist",IF(I51&lt;=5,"Lost","New Customers")))))</f>
        <v/>
      </c>
    </row>
    <row r="52" ht="15" customHeight="1" s="12">
      <c r="A52" s="19" t="inlineStr">
        <is>
          <t>C1050</t>
        </is>
      </c>
      <c r="B52" s="19" t="inlineStr">
        <is>
          <t>Customer 051</t>
        </is>
      </c>
      <c r="C52" s="19" t="n">
        <v>240</v>
      </c>
      <c r="D52" s="19" t="n">
        <v>12</v>
      </c>
      <c r="E52" s="20" t="n">
        <v>1327.54</v>
      </c>
      <c r="F52" s="19">
        <f>IF(C52&lt;=10,5,IF(C52&lt;=30,4,IF(C52&lt;=60,3,IF(C52&lt;=120,2,1))))</f>
        <v/>
      </c>
      <c r="G52" s="19">
        <f>IF(D52&gt;=10,5,IF(D52&gt;=7,4,IF(D52&gt;=4,3,IF(D52&gt;=2,2,1))))</f>
        <v/>
      </c>
      <c r="H52" s="19">
        <f>IF(E52&gt;=1000,5,IF(E52&gt;=600,4,IF(E52&gt;=300,3,IF(E52&gt;=100,2,1))))</f>
        <v/>
      </c>
      <c r="I52" s="19">
        <f>F52+G52+H52</f>
        <v/>
      </c>
      <c r="J52" s="19">
        <f>IF(I52&gt;=13,"Champions",IF(I52&gt;=10,"Loyal Customers",IF(AND(F52&lt;=2,H52&gt;=3),"At Risk",IF(I52&gt;=7,"Potential Loyalist",IF(I52&lt;=5,"Lost","New Customers")))))</f>
        <v/>
      </c>
    </row>
    <row r="53" ht="15" customHeight="1" s="12">
      <c r="A53" s="19" t="inlineStr">
        <is>
          <t>C1051</t>
        </is>
      </c>
      <c r="B53" s="19" t="inlineStr">
        <is>
          <t>Customer 052</t>
        </is>
      </c>
      <c r="C53" s="19" t="n">
        <v>70</v>
      </c>
      <c r="D53" s="19" t="n">
        <v>8</v>
      </c>
      <c r="E53" s="20" t="n">
        <v>469.09</v>
      </c>
      <c r="F53" s="19">
        <f>IF(C53&lt;=10,5,IF(C53&lt;=30,4,IF(C53&lt;=60,3,IF(C53&lt;=120,2,1))))</f>
        <v/>
      </c>
      <c r="G53" s="19">
        <f>IF(D53&gt;=10,5,IF(D53&gt;=7,4,IF(D53&gt;=4,3,IF(D53&gt;=2,2,1))))</f>
        <v/>
      </c>
      <c r="H53" s="19">
        <f>IF(E53&gt;=1000,5,IF(E53&gt;=600,4,IF(E53&gt;=300,3,IF(E53&gt;=100,2,1))))</f>
        <v/>
      </c>
      <c r="I53" s="19">
        <f>F53+G53+H53</f>
        <v/>
      </c>
      <c r="J53" s="19">
        <f>IF(I53&gt;=13,"Champions",IF(I53&gt;=10,"Loyal Customers",IF(AND(F53&lt;=2,H53&gt;=3),"At Risk",IF(I53&gt;=7,"Potential Loyalist",IF(I53&lt;=5,"Lost","New Customers")))))</f>
        <v/>
      </c>
    </row>
    <row r="54" ht="15" customHeight="1" s="12">
      <c r="A54" s="19" t="inlineStr">
        <is>
          <t>C1052</t>
        </is>
      </c>
      <c r="B54" s="19" t="inlineStr">
        <is>
          <t>Customer 053</t>
        </is>
      </c>
      <c r="C54" s="19" t="n">
        <v>240</v>
      </c>
      <c r="D54" s="19" t="n">
        <v>8</v>
      </c>
      <c r="E54" s="20" t="n">
        <v>409.64</v>
      </c>
      <c r="F54" s="19">
        <f>IF(C54&lt;=10,5,IF(C54&lt;=30,4,IF(C54&lt;=60,3,IF(C54&lt;=120,2,1))))</f>
        <v/>
      </c>
      <c r="G54" s="19">
        <f>IF(D54&gt;=10,5,IF(D54&gt;=7,4,IF(D54&gt;=4,3,IF(D54&gt;=2,2,1))))</f>
        <v/>
      </c>
      <c r="H54" s="19">
        <f>IF(E54&gt;=1000,5,IF(E54&gt;=600,4,IF(E54&gt;=300,3,IF(E54&gt;=100,2,1))))</f>
        <v/>
      </c>
      <c r="I54" s="19">
        <f>F54+G54+H54</f>
        <v/>
      </c>
      <c r="J54" s="19">
        <f>IF(I54&gt;=13,"Champions",IF(I54&gt;=10,"Loyal Customers",IF(AND(F54&lt;=2,H54&gt;=3),"At Risk",IF(I54&gt;=7,"Potential Loyalist",IF(I54&lt;=5,"Lost","New Customers")))))</f>
        <v/>
      </c>
    </row>
    <row r="55" ht="15" customHeight="1" s="12">
      <c r="A55" s="19" t="inlineStr">
        <is>
          <t>C1053</t>
        </is>
      </c>
      <c r="B55" s="19" t="inlineStr">
        <is>
          <t>Customer 054</t>
        </is>
      </c>
      <c r="C55" s="19" t="n">
        <v>8</v>
      </c>
      <c r="D55" s="19" t="n">
        <v>4</v>
      </c>
      <c r="E55" s="20" t="n">
        <v>477.25</v>
      </c>
      <c r="F55" s="19">
        <f>IF(C55&lt;=10,5,IF(C55&lt;=30,4,IF(C55&lt;=60,3,IF(C55&lt;=120,2,1))))</f>
        <v/>
      </c>
      <c r="G55" s="19">
        <f>IF(D55&gt;=10,5,IF(D55&gt;=7,4,IF(D55&gt;=4,3,IF(D55&gt;=2,2,1))))</f>
        <v/>
      </c>
      <c r="H55" s="19">
        <f>IF(E55&gt;=1000,5,IF(E55&gt;=600,4,IF(E55&gt;=300,3,IF(E55&gt;=100,2,1))))</f>
        <v/>
      </c>
      <c r="I55" s="19">
        <f>F55+G55+H55</f>
        <v/>
      </c>
      <c r="J55" s="19">
        <f>IF(I55&gt;=13,"Champions",IF(I55&gt;=10,"Loyal Customers",IF(AND(F55&lt;=2,H55&gt;=3),"At Risk",IF(I55&gt;=7,"Potential Loyalist",IF(I55&lt;=5,"Lost","New Customers")))))</f>
        <v/>
      </c>
    </row>
    <row r="56" ht="15" customHeight="1" s="12">
      <c r="A56" s="19" t="inlineStr">
        <is>
          <t>C1054</t>
        </is>
      </c>
      <c r="B56" s="19" t="inlineStr">
        <is>
          <t>Customer 055</t>
        </is>
      </c>
      <c r="C56" s="19" t="n">
        <v>8</v>
      </c>
      <c r="D56" s="19" t="n">
        <v>6</v>
      </c>
      <c r="E56" s="20" t="n">
        <v>888.79</v>
      </c>
      <c r="F56" s="19">
        <f>IF(C56&lt;=10,5,IF(C56&lt;=30,4,IF(C56&lt;=60,3,IF(C56&lt;=120,2,1))))</f>
        <v/>
      </c>
      <c r="G56" s="19">
        <f>IF(D56&gt;=10,5,IF(D56&gt;=7,4,IF(D56&gt;=4,3,IF(D56&gt;=2,2,1))))</f>
        <v/>
      </c>
      <c r="H56" s="19">
        <f>IF(E56&gt;=1000,5,IF(E56&gt;=600,4,IF(E56&gt;=300,3,IF(E56&gt;=100,2,1))))</f>
        <v/>
      </c>
      <c r="I56" s="19">
        <f>F56+G56+H56</f>
        <v/>
      </c>
      <c r="J56" s="19">
        <f>IF(I56&gt;=13,"Champions",IF(I56&gt;=10,"Loyal Customers",IF(AND(F56&lt;=2,H56&gt;=3),"At Risk",IF(I56&gt;=7,"Potential Loyalist",IF(I56&lt;=5,"Lost","New Customers")))))</f>
        <v/>
      </c>
    </row>
    <row r="57" ht="15" customHeight="1" s="12">
      <c r="A57" s="19" t="inlineStr">
        <is>
          <t>C1055</t>
        </is>
      </c>
      <c r="B57" s="19" t="inlineStr">
        <is>
          <t>Customer 056</t>
        </is>
      </c>
      <c r="C57" s="19" t="n">
        <v>8</v>
      </c>
      <c r="D57" s="19" t="n">
        <v>1</v>
      </c>
      <c r="E57" s="20" t="n">
        <v>142.02</v>
      </c>
      <c r="F57" s="19">
        <f>IF(C57&lt;=10,5,IF(C57&lt;=30,4,IF(C57&lt;=60,3,IF(C57&lt;=120,2,1))))</f>
        <v/>
      </c>
      <c r="G57" s="19">
        <f>IF(D57&gt;=10,5,IF(D57&gt;=7,4,IF(D57&gt;=4,3,IF(D57&gt;=2,2,1))))</f>
        <v/>
      </c>
      <c r="H57" s="19">
        <f>IF(E57&gt;=1000,5,IF(E57&gt;=600,4,IF(E57&gt;=300,3,IF(E57&gt;=100,2,1))))</f>
        <v/>
      </c>
      <c r="I57" s="19">
        <f>F57+G57+H57</f>
        <v/>
      </c>
      <c r="J57" s="19">
        <f>IF(I57&gt;=13,"Champions",IF(I57&gt;=10,"Loyal Customers",IF(AND(F57&lt;=2,H57&gt;=3),"At Risk",IF(I57&gt;=7,"Potential Loyalist",IF(I57&lt;=5,"Lost","New Customers")))))</f>
        <v/>
      </c>
    </row>
    <row r="58" ht="15" customHeight="1" s="12">
      <c r="A58" s="19" t="inlineStr">
        <is>
          <t>C1056</t>
        </is>
      </c>
      <c r="B58" s="19" t="inlineStr">
        <is>
          <t>Customer 057</t>
        </is>
      </c>
      <c r="C58" s="19" t="n">
        <v>120</v>
      </c>
      <c r="D58" s="19" t="n">
        <v>2</v>
      </c>
      <c r="E58" s="20" t="n">
        <v>421.62</v>
      </c>
      <c r="F58" s="19">
        <f>IF(C58&lt;=10,5,IF(C58&lt;=30,4,IF(C58&lt;=60,3,IF(C58&lt;=120,2,1))))</f>
        <v/>
      </c>
      <c r="G58" s="19">
        <f>IF(D58&gt;=10,5,IF(D58&gt;=7,4,IF(D58&gt;=4,3,IF(D58&gt;=2,2,1))))</f>
        <v/>
      </c>
      <c r="H58" s="19">
        <f>IF(E58&gt;=1000,5,IF(E58&gt;=600,4,IF(E58&gt;=300,3,IF(E58&gt;=100,2,1))))</f>
        <v/>
      </c>
      <c r="I58" s="19">
        <f>F58+G58+H58</f>
        <v/>
      </c>
      <c r="J58" s="19">
        <f>IF(I58&gt;=13,"Champions",IF(I58&gt;=10,"Loyal Customers",IF(AND(F58&lt;=2,H58&gt;=3),"At Risk",IF(I58&gt;=7,"Potential Loyalist",IF(I58&lt;=5,"Lost","New Customers")))))</f>
        <v/>
      </c>
    </row>
    <row r="59" ht="15" customHeight="1" s="12">
      <c r="A59" s="19" t="inlineStr">
        <is>
          <t>C1057</t>
        </is>
      </c>
      <c r="B59" s="19" t="inlineStr">
        <is>
          <t>Customer 058</t>
        </is>
      </c>
      <c r="C59" s="19" t="n">
        <v>180</v>
      </c>
      <c r="D59" s="19" t="n">
        <v>1</v>
      </c>
      <c r="E59" s="20" t="n">
        <v>52.66</v>
      </c>
      <c r="F59" s="19">
        <f>IF(C59&lt;=10,5,IF(C59&lt;=30,4,IF(C59&lt;=60,3,IF(C59&lt;=120,2,1))))</f>
        <v/>
      </c>
      <c r="G59" s="19">
        <f>IF(D59&gt;=10,5,IF(D59&gt;=7,4,IF(D59&gt;=4,3,IF(D59&gt;=2,2,1))))</f>
        <v/>
      </c>
      <c r="H59" s="19">
        <f>IF(E59&gt;=1000,5,IF(E59&gt;=600,4,IF(E59&gt;=300,3,IF(E59&gt;=100,2,1))))</f>
        <v/>
      </c>
      <c r="I59" s="19">
        <f>F59+G59+H59</f>
        <v/>
      </c>
      <c r="J59" s="19">
        <f>IF(I59&gt;=13,"Champions",IF(I59&gt;=10,"Loyal Customers",IF(AND(F59&lt;=2,H59&gt;=3),"At Risk",IF(I59&gt;=7,"Potential Loyalist",IF(I59&lt;=5,"Lost","New Customers")))))</f>
        <v/>
      </c>
    </row>
    <row r="60" ht="15" customHeight="1" s="12">
      <c r="A60" s="19" t="inlineStr">
        <is>
          <t>C1058</t>
        </is>
      </c>
      <c r="B60" s="19" t="inlineStr">
        <is>
          <t>Customer 059</t>
        </is>
      </c>
      <c r="C60" s="19" t="n">
        <v>20</v>
      </c>
      <c r="D60" s="19" t="n">
        <v>15</v>
      </c>
      <c r="E60" s="20" t="n">
        <v>1615.82</v>
      </c>
      <c r="F60" s="19">
        <f>IF(C60&lt;=10,5,IF(C60&lt;=30,4,IF(C60&lt;=60,3,IF(C60&lt;=120,2,1))))</f>
        <v/>
      </c>
      <c r="G60" s="19">
        <f>IF(D60&gt;=10,5,IF(D60&gt;=7,4,IF(D60&gt;=4,3,IF(D60&gt;=2,2,1))))</f>
        <v/>
      </c>
      <c r="H60" s="19">
        <f>IF(E60&gt;=1000,5,IF(E60&gt;=600,4,IF(E60&gt;=300,3,IF(E60&gt;=100,2,1))))</f>
        <v/>
      </c>
      <c r="I60" s="19">
        <f>F60+G60+H60</f>
        <v/>
      </c>
      <c r="J60" s="19">
        <f>IF(I60&gt;=13,"Champions",IF(I60&gt;=10,"Loyal Customers",IF(AND(F60&lt;=2,H60&gt;=3),"At Risk",IF(I60&gt;=7,"Potential Loyalist",IF(I60&lt;=5,"Lost","New Customers")))))</f>
        <v/>
      </c>
    </row>
    <row r="61" ht="15" customHeight="1" s="12">
      <c r="A61" s="19" t="inlineStr">
        <is>
          <t>C1059</t>
        </is>
      </c>
      <c r="B61" s="19" t="inlineStr">
        <is>
          <t>Customer 060</t>
        </is>
      </c>
      <c r="C61" s="19" t="n">
        <v>240</v>
      </c>
      <c r="D61" s="19" t="n">
        <v>5</v>
      </c>
      <c r="E61" s="20" t="n">
        <v>1059.92</v>
      </c>
      <c r="F61" s="19">
        <f>IF(C61&lt;=10,5,IF(C61&lt;=30,4,IF(C61&lt;=60,3,IF(C61&lt;=120,2,1))))</f>
        <v/>
      </c>
      <c r="G61" s="19">
        <f>IF(D61&gt;=10,5,IF(D61&gt;=7,4,IF(D61&gt;=4,3,IF(D61&gt;=2,2,1))))</f>
        <v/>
      </c>
      <c r="H61" s="19">
        <f>IF(E61&gt;=1000,5,IF(E61&gt;=600,4,IF(E61&gt;=300,3,IF(E61&gt;=100,2,1))))</f>
        <v/>
      </c>
      <c r="I61" s="19">
        <f>F61+G61+H61</f>
        <v/>
      </c>
      <c r="J61" s="19">
        <f>IF(I61&gt;=13,"Champions",IF(I61&gt;=10,"Loyal Customers",IF(AND(F61&lt;=2,H61&gt;=3),"At Risk",IF(I61&gt;=7,"Potential Loyalist",IF(I61&lt;=5,"Lost","New Customers")))))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1" min="1" max="1"/>
    <col width="16" customWidth="1" style="11" min="2" max="3"/>
    <col width="22" customWidth="1" style="11" min="4" max="4"/>
    <col width="14" customWidth="1" style="11" min="5" max="5"/>
  </cols>
  <sheetData>
    <row r="1" ht="15" customHeight="1" s="12">
      <c r="A1" s="18" t="inlineStr">
        <is>
          <t>Segment</t>
        </is>
      </c>
      <c r="B1" s="18" t="inlineStr">
        <is>
          <t>Customer Count</t>
        </is>
      </c>
      <c r="C1" s="18" t="inlineStr">
        <is>
          <t>Total Revenue</t>
        </is>
      </c>
      <c r="D1" s="18" t="inlineStr">
        <is>
          <t>Avg Spend per Customer</t>
        </is>
      </c>
      <c r="E1" s="18" t="inlineStr">
        <is>
          <t>% of Customers</t>
        </is>
      </c>
    </row>
    <row r="2" ht="15" customHeight="1" s="12">
      <c r="A2" s="19" t="inlineStr">
        <is>
          <t>Champions</t>
        </is>
      </c>
      <c r="B2" s="19">
        <f>COUNTIF('Customer Data'!J:J,A2)</f>
        <v/>
      </c>
      <c r="C2" s="21">
        <f>SUMIF('Customer Data'!J:J,A2,'Customer Data'!E:E)</f>
        <v/>
      </c>
      <c r="D2" s="21">
        <f>IF(B2=0,0,C2/B2)</f>
        <v/>
      </c>
      <c r="E2" s="22">
        <f>B2/SUM($B$2:$B$7)</f>
        <v/>
      </c>
    </row>
    <row r="3" ht="15" customHeight="1" s="12">
      <c r="A3" s="19" t="inlineStr">
        <is>
          <t>Loyal Customers</t>
        </is>
      </c>
      <c r="B3" s="19">
        <f>COUNTIF('Customer Data'!J:J,A3)</f>
        <v/>
      </c>
      <c r="C3" s="21">
        <f>SUMIF('Customer Data'!J:J,A3,'Customer Data'!E:E)</f>
        <v/>
      </c>
      <c r="D3" s="21">
        <f>IF(B3=0,0,C3/B3)</f>
        <v/>
      </c>
      <c r="E3" s="22">
        <f>B3/SUM($B$2:$B$7)</f>
        <v/>
      </c>
    </row>
    <row r="4" ht="15" customHeight="1" s="12">
      <c r="A4" s="19" t="inlineStr">
        <is>
          <t>Potential Loyalist</t>
        </is>
      </c>
      <c r="B4" s="19">
        <f>COUNTIF('Customer Data'!J:J,A4)</f>
        <v/>
      </c>
      <c r="C4" s="21">
        <f>SUMIF('Customer Data'!J:J,A4,'Customer Data'!E:E)</f>
        <v/>
      </c>
      <c r="D4" s="21">
        <f>IF(B4=0,0,C4/B4)</f>
        <v/>
      </c>
      <c r="E4" s="22">
        <f>B4/SUM($B$2:$B$7)</f>
        <v/>
      </c>
    </row>
    <row r="5" ht="15" customHeight="1" s="12">
      <c r="A5" s="19" t="inlineStr">
        <is>
          <t>New Customers</t>
        </is>
      </c>
      <c r="B5" s="19">
        <f>COUNTIF('Customer Data'!J:J,A5)</f>
        <v/>
      </c>
      <c r="C5" s="21">
        <f>SUMIF('Customer Data'!J:J,A5,'Customer Data'!E:E)</f>
        <v/>
      </c>
      <c r="D5" s="21">
        <f>IF(B5=0,0,C5/B5)</f>
        <v/>
      </c>
      <c r="E5" s="22">
        <f>B5/SUM($B$2:$B$7)</f>
        <v/>
      </c>
    </row>
    <row r="6" ht="15" customHeight="1" s="12">
      <c r="A6" s="19" t="inlineStr">
        <is>
          <t>At Risk</t>
        </is>
      </c>
      <c r="B6" s="19">
        <f>COUNTIF('Customer Data'!J:J,A6)</f>
        <v/>
      </c>
      <c r="C6" s="21">
        <f>SUMIF('Customer Data'!J:J,A6,'Customer Data'!E:E)</f>
        <v/>
      </c>
      <c r="D6" s="21">
        <f>IF(B6=0,0,C6/B6)</f>
        <v/>
      </c>
      <c r="E6" s="22">
        <f>B6/SUM($B$2:$B$7)</f>
        <v/>
      </c>
    </row>
    <row r="7" ht="15" customHeight="1" s="12">
      <c r="A7" s="19" t="inlineStr">
        <is>
          <t>Lost</t>
        </is>
      </c>
      <c r="B7" s="19">
        <f>COUNTIF('Customer Data'!J:J,A7)</f>
        <v/>
      </c>
      <c r="C7" s="21">
        <f>SUMIF('Customer Data'!J:J,A7,'Customer Data'!E:E)</f>
        <v/>
      </c>
      <c r="D7" s="21">
        <f>IF(B7=0,0,C7/B7)</f>
        <v/>
      </c>
      <c r="E7" s="22">
        <f>B7/SUM($B$2:$B$7)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2026-06-30T03:34:04Z</dcterms:created>
  <dcterms:modified xmlns:dcterms="http://purl.org/dc/terms/" xmlns:xsi="http://www.w3.org/2001/XMLSchema-instance" xsi:type="dcterms:W3CDTF">2026-06-30T03:44:52Z</dcterms:modified>
  <cp:revision>1</cp:revision>
</cp:coreProperties>
</file>